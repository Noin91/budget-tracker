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ushaltsbuch 25" sheetId="1" r:id="rId5"/>
    <sheet state="visible" name="Januar" sheetId="2" r:id="rId6"/>
    <sheet state="visible" name="Februar" sheetId="3" r:id="rId7"/>
    <sheet state="visible" name="März" sheetId="4" r:id="rId8"/>
    <sheet state="visible" name="April" sheetId="5" r:id="rId9"/>
    <sheet state="visible" name="Mai" sheetId="6" r:id="rId10"/>
    <sheet state="visible" name="Juni" sheetId="7" r:id="rId11"/>
    <sheet state="visible" name="Juli" sheetId="8" r:id="rId12"/>
    <sheet state="visible" name="August" sheetId="9" r:id="rId13"/>
    <sheet state="visible" name="September" sheetId="10" r:id="rId14"/>
    <sheet state="visible" name="Oktober" sheetId="11" r:id="rId15"/>
    <sheet state="visible" name="November" sheetId="12" r:id="rId16"/>
    <sheet state="visible" name="Dezember" sheetId="13" r:id="rId17"/>
  </sheets>
  <definedNames/>
  <calcPr/>
</workbook>
</file>

<file path=xl/sharedStrings.xml><?xml version="1.0" encoding="utf-8"?>
<sst xmlns="http://schemas.openxmlformats.org/spreadsheetml/2006/main" count="595" uniqueCount="212">
  <si>
    <t>Lebensmittel</t>
  </si>
  <si>
    <t>Haushaltsbuch</t>
  </si>
  <si>
    <t>Auto</t>
  </si>
  <si>
    <t>Januar</t>
  </si>
  <si>
    <t>Kleidung</t>
  </si>
  <si>
    <t>Februar</t>
  </si>
  <si>
    <t>März</t>
  </si>
  <si>
    <t>April</t>
  </si>
  <si>
    <t>Sonstiges</t>
  </si>
  <si>
    <t>Mai</t>
  </si>
  <si>
    <t>Juni</t>
  </si>
  <si>
    <t>Juli</t>
  </si>
  <si>
    <t>August</t>
  </si>
  <si>
    <t>September</t>
  </si>
  <si>
    <t>Katzen</t>
  </si>
  <si>
    <t>Oktober</t>
  </si>
  <si>
    <t>November</t>
  </si>
  <si>
    <t>Dezember</t>
  </si>
  <si>
    <t>Gesamt</t>
  </si>
  <si>
    <t>Durchschnitt</t>
  </si>
  <si>
    <t>Name</t>
  </si>
  <si>
    <t>Ausgabe</t>
  </si>
  <si>
    <t>Einnahmen</t>
  </si>
  <si>
    <t>Kaufland</t>
  </si>
  <si>
    <t>Tanken</t>
  </si>
  <si>
    <t>Rossman</t>
  </si>
  <si>
    <t>Relai</t>
  </si>
  <si>
    <t>Gehalt</t>
  </si>
  <si>
    <t>Easy Park</t>
  </si>
  <si>
    <t>Schwimmen</t>
  </si>
  <si>
    <t>Bäcker</t>
  </si>
  <si>
    <t xml:space="preserve">Kissen </t>
  </si>
  <si>
    <t>Rewe</t>
  </si>
  <si>
    <t>Aktien</t>
  </si>
  <si>
    <t>BattleNet</t>
  </si>
  <si>
    <t>Oma Handy</t>
  </si>
  <si>
    <t>Variable Einnahmen</t>
  </si>
  <si>
    <t>BrokenPass</t>
  </si>
  <si>
    <t>Parken</t>
  </si>
  <si>
    <t>Friseur</t>
  </si>
  <si>
    <t>Theo Automat</t>
  </si>
  <si>
    <t>Besaitung</t>
  </si>
  <si>
    <t>Urlaub ESG</t>
  </si>
  <si>
    <t>Kaffe</t>
  </si>
  <si>
    <t>BVG</t>
  </si>
  <si>
    <t>Supps</t>
  </si>
  <si>
    <t>Baude</t>
  </si>
  <si>
    <t>Roit</t>
  </si>
  <si>
    <t>OL</t>
  </si>
  <si>
    <t>Kissen</t>
  </si>
  <si>
    <t>Döner</t>
  </si>
  <si>
    <t>WoW</t>
  </si>
  <si>
    <t>Bezug</t>
  </si>
  <si>
    <t>ElbFlorenz</t>
  </si>
  <si>
    <t>Post</t>
  </si>
  <si>
    <t>Edeka</t>
  </si>
  <si>
    <t>schwimmen</t>
  </si>
  <si>
    <t>Hanseatic Bank</t>
  </si>
  <si>
    <t>Schwimmbrille</t>
  </si>
  <si>
    <t>Lidl Bad Schandau</t>
  </si>
  <si>
    <t xml:space="preserve">Essen Total </t>
  </si>
  <si>
    <t>PUG Kauf</t>
  </si>
  <si>
    <t>Canvas</t>
  </si>
  <si>
    <t>Cafe</t>
  </si>
  <si>
    <t>Backer</t>
  </si>
  <si>
    <t>QLF</t>
  </si>
  <si>
    <t>Globus</t>
  </si>
  <si>
    <t>kaufland</t>
  </si>
  <si>
    <t>Rossmann</t>
  </si>
  <si>
    <t>Wäsche</t>
  </si>
  <si>
    <t>Total</t>
  </si>
  <si>
    <t>Aral</t>
  </si>
  <si>
    <t>Netto</t>
  </si>
  <si>
    <t>Dominos</t>
  </si>
  <si>
    <t>Extra Konto</t>
  </si>
  <si>
    <t>David Yazio</t>
  </si>
  <si>
    <t>Barb</t>
  </si>
  <si>
    <t>Demirel</t>
  </si>
  <si>
    <t>GoPro Halterung</t>
  </si>
  <si>
    <t>Papa Kakao</t>
  </si>
  <si>
    <t xml:space="preserve">Automat </t>
  </si>
  <si>
    <t>Annika Restaurant</t>
  </si>
  <si>
    <t>Wohnung</t>
  </si>
  <si>
    <t>Buch</t>
  </si>
  <si>
    <t>Wäschekorb</t>
  </si>
  <si>
    <t>Rolladen</t>
  </si>
  <si>
    <t>Broken</t>
  </si>
  <si>
    <t>Miete Wohnung</t>
  </si>
  <si>
    <t xml:space="preserve">Shell </t>
  </si>
  <si>
    <t>Essen mit Simon</t>
  </si>
  <si>
    <t>Radhose</t>
  </si>
  <si>
    <t>Schränke</t>
  </si>
  <si>
    <t>Sparen</t>
  </si>
  <si>
    <t>Lidl</t>
  </si>
  <si>
    <t>Bauer</t>
  </si>
  <si>
    <t>Müller</t>
  </si>
  <si>
    <t>Monatlich zur Verfügung (70%)</t>
  </si>
  <si>
    <t>Aldi</t>
  </si>
  <si>
    <t>Brammibals</t>
  </si>
  <si>
    <t>Bauernmarkt Kells</t>
  </si>
  <si>
    <t>Konto 20%</t>
  </si>
  <si>
    <t>Investment 10%</t>
  </si>
  <si>
    <t>Fix Kosten</t>
  </si>
  <si>
    <t>Wohnen</t>
  </si>
  <si>
    <t>Miete</t>
  </si>
  <si>
    <t>Strom</t>
  </si>
  <si>
    <t>Internet</t>
  </si>
  <si>
    <t>Hausratversicherung</t>
  </si>
  <si>
    <t>GEZ</t>
  </si>
  <si>
    <t>Versicherungen</t>
  </si>
  <si>
    <t>Auslandskrankenversicherung</t>
  </si>
  <si>
    <t>Haftpflichtversicherung</t>
  </si>
  <si>
    <t>Sport</t>
  </si>
  <si>
    <t>Badminton</t>
  </si>
  <si>
    <t>Cleverfit</t>
  </si>
  <si>
    <t>Deutscher Alpen Verein</t>
  </si>
  <si>
    <t>Versicherung</t>
  </si>
  <si>
    <t>ADAC</t>
  </si>
  <si>
    <t>Steuern</t>
  </si>
  <si>
    <t>Sonstige Verträge</t>
  </si>
  <si>
    <t>Apple Musik, Cloud</t>
  </si>
  <si>
    <t>Amazon</t>
  </si>
  <si>
    <t>Kells Bauernmarkt</t>
  </si>
  <si>
    <t>Schrank</t>
  </si>
  <si>
    <t>Fahrrad</t>
  </si>
  <si>
    <t>WrieBa</t>
  </si>
  <si>
    <t>Canva</t>
  </si>
  <si>
    <t>Handy</t>
  </si>
  <si>
    <t xml:space="preserve">Bargeld </t>
  </si>
  <si>
    <t>Netflix</t>
  </si>
  <si>
    <t>Ikea HotDog</t>
  </si>
  <si>
    <t>Luisa</t>
  </si>
  <si>
    <t>Claude AI</t>
  </si>
  <si>
    <t>Schloss</t>
  </si>
  <si>
    <t>Pizza Dorado</t>
  </si>
  <si>
    <t>Fahrrad Tasche</t>
  </si>
  <si>
    <t>Rollo</t>
  </si>
  <si>
    <t>Ing Diba</t>
  </si>
  <si>
    <t>Kettenhalter</t>
  </si>
  <si>
    <t>Dazn</t>
  </si>
  <si>
    <t>Burger</t>
  </si>
  <si>
    <t>Film</t>
  </si>
  <si>
    <t>Fahrrad Pumpe</t>
  </si>
  <si>
    <t>Ummelden</t>
  </si>
  <si>
    <t>Duschablage</t>
  </si>
  <si>
    <t>Mikrowelle</t>
  </si>
  <si>
    <t>Tefal</t>
  </si>
  <si>
    <t>Socken</t>
  </si>
  <si>
    <t>Mauspad</t>
  </si>
  <si>
    <t>Variable Kosten</t>
  </si>
  <si>
    <t>Hilde und Kurt</t>
  </si>
  <si>
    <t>Usb Hub</t>
  </si>
  <si>
    <t>Usb Verlängerung</t>
  </si>
  <si>
    <t>Verlängerungskabel</t>
  </si>
  <si>
    <t>Hausschuhe</t>
  </si>
  <si>
    <t>Lampe</t>
  </si>
  <si>
    <t>Brett</t>
  </si>
  <si>
    <t>Abzieher Dusche</t>
  </si>
  <si>
    <t>Poco Locco</t>
  </si>
  <si>
    <t>Blitzer</t>
  </si>
  <si>
    <t>Frank Geschenk</t>
  </si>
  <si>
    <t>Mueller</t>
  </si>
  <si>
    <t>ETF</t>
  </si>
  <si>
    <t>Ionos</t>
  </si>
  <si>
    <t>Kopfhörer</t>
  </si>
  <si>
    <t>FahrradCreme</t>
  </si>
  <si>
    <t>Amali Geschenk</t>
  </si>
  <si>
    <t>Bilanz</t>
  </si>
  <si>
    <t>SparQuote</t>
  </si>
  <si>
    <t>Ausgaben</t>
  </si>
  <si>
    <t>Vermögen</t>
  </si>
  <si>
    <t>Relai (BitCoin)</t>
  </si>
  <si>
    <t>Girokonto</t>
  </si>
  <si>
    <t>Tagesgeld Scalable</t>
  </si>
  <si>
    <t>Notfallgroschen</t>
  </si>
  <si>
    <t>Sparkonto</t>
  </si>
  <si>
    <t>Qonto</t>
  </si>
  <si>
    <t>Geschäftskonto</t>
  </si>
  <si>
    <t>Bargeld</t>
  </si>
  <si>
    <t>Urlaub</t>
  </si>
  <si>
    <t>Edinburgh</t>
  </si>
  <si>
    <t>Dänemark</t>
  </si>
  <si>
    <t>Dorado</t>
  </si>
  <si>
    <t xml:space="preserve">Tank </t>
  </si>
  <si>
    <t>LinkedIn</t>
  </si>
  <si>
    <t>amazon</t>
  </si>
  <si>
    <t>Obi</t>
  </si>
  <si>
    <t>Laptop</t>
  </si>
  <si>
    <t>Tanken +Snack</t>
  </si>
  <si>
    <t>Bar</t>
  </si>
  <si>
    <t>Sum</t>
  </si>
  <si>
    <t>Snack</t>
  </si>
  <si>
    <t xml:space="preserve">Sum </t>
  </si>
  <si>
    <t>Maurice Geschenk</t>
  </si>
  <si>
    <t>Claude</t>
  </si>
  <si>
    <t>Steinecke</t>
  </si>
  <si>
    <t>Essen Hintze</t>
  </si>
  <si>
    <t>KAufland</t>
  </si>
  <si>
    <t>Battlenet</t>
  </si>
  <si>
    <t>PowerBank</t>
  </si>
  <si>
    <t>Aral Snack</t>
  </si>
  <si>
    <t>Lampe vorne</t>
  </si>
  <si>
    <t xml:space="preserve">Bargeld Luisa </t>
  </si>
  <si>
    <t>Cyclite</t>
  </si>
  <si>
    <t>Castelli</t>
  </si>
  <si>
    <t>Rücklicht</t>
  </si>
  <si>
    <t>Kreditkarte</t>
  </si>
  <si>
    <t>Mountain Squad</t>
  </si>
  <si>
    <t>Inons</t>
  </si>
  <si>
    <t>PayPal</t>
  </si>
  <si>
    <t>Tornado</t>
  </si>
  <si>
    <t>Schlauch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</si>
</sst>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  <scheme val="minor"/>
    </font>
    <font>
      <color rgb="FF6AA84F"/>
      <name val="Arial"/>
      <scheme val="minor"/>
    </font>
    <font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38">
    <border/>
    <border>
      <left style="medium">
        <color rgb="FFFF0000"/>
      </left>
      <top style="medium">
        <color rgb="FFFF0000"/>
      </top>
    </border>
    <border>
      <right style="medium">
        <color rgb="FFFF0000"/>
      </right>
      <top style="medium">
        <color rgb="FFFF0000"/>
      </top>
    </border>
    <border>
      <left style="medium">
        <color rgb="FFFF0000"/>
      </left>
    </border>
    <border>
      <right style="medium">
        <color rgb="FFFF0000"/>
      </right>
    </border>
    <border>
      <left style="medium">
        <color rgb="FF93C47D"/>
      </left>
      <top style="medium">
        <color rgb="FF93C47D"/>
      </top>
    </border>
    <border>
      <top style="medium">
        <color rgb="FF93C47D"/>
      </top>
    </border>
    <border>
      <right style="medium">
        <color rgb="FF93C47D"/>
      </right>
      <top style="medium">
        <color rgb="FF93C47D"/>
      </top>
    </border>
    <border>
      <left style="medium">
        <color rgb="FF93C47D"/>
      </left>
    </border>
    <border>
      <right style="medium">
        <color rgb="FF93C47D"/>
      </right>
    </border>
    <border>
      <left style="medium">
        <color rgb="FF93C47D"/>
      </left>
      <bottom style="medium">
        <color rgb="FF93C47D"/>
      </bottom>
    </border>
    <border>
      <bottom style="medium">
        <color rgb="FF93C47D"/>
      </bottom>
    </border>
    <border>
      <right style="medium">
        <color rgb="FF93C47D"/>
      </right>
      <bottom style="medium">
        <color rgb="FF93C47D"/>
      </bottom>
    </border>
    <border>
      <left style="medium">
        <color rgb="FFFF0000"/>
      </left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 style="medium">
        <color rgb="FFE06666"/>
      </left>
      <top style="medium">
        <color rgb="FFE06666"/>
      </top>
    </border>
    <border>
      <top style="medium">
        <color rgb="FFE06666"/>
      </top>
    </border>
    <border>
      <right style="medium">
        <color rgb="FFE06666"/>
      </right>
      <top style="medium">
        <color rgb="FFE06666"/>
      </top>
    </border>
    <border>
      <left style="medium">
        <color rgb="FFE06666"/>
      </left>
    </border>
    <border>
      <right style="medium">
        <color rgb="FFE06666"/>
      </right>
    </border>
    <border>
      <left style="medium">
        <color rgb="FFE06666"/>
      </left>
      <bottom style="medium">
        <color rgb="FFE06666"/>
      </bottom>
    </border>
    <border>
      <bottom style="medium">
        <color rgb="FFE06666"/>
      </bottom>
    </border>
    <border>
      <right style="medium">
        <color rgb="FFE06666"/>
      </right>
      <bottom style="medium">
        <color rgb="FFE06666"/>
      </bottom>
    </border>
    <border>
      <left style="medium">
        <color rgb="FF4285F4"/>
      </left>
      <top style="medium">
        <color rgb="FF4285F4"/>
      </top>
      <bottom style="medium">
        <color rgb="FF3C78D8"/>
      </bottom>
    </border>
    <border>
      <top style="medium">
        <color rgb="FF4285F4"/>
      </top>
      <bottom style="medium">
        <color rgb="FF3C78D8"/>
      </bottom>
    </border>
    <border>
      <right style="medium">
        <color rgb="FF4285F4"/>
      </right>
      <top style="medium">
        <color rgb="FF4285F4"/>
      </top>
      <bottom style="medium">
        <color rgb="FF3C78D8"/>
      </bottom>
    </border>
    <border>
      <left style="medium">
        <color rgb="FF4285F4"/>
      </left>
    </border>
    <border>
      <right style="medium">
        <color rgb="FF4285F4"/>
      </right>
    </border>
    <border>
      <left style="medium">
        <color rgb="FF4285F4"/>
      </left>
      <bottom style="medium">
        <color rgb="FF4285F4"/>
      </bottom>
    </border>
    <border>
      <bottom style="medium">
        <color rgb="FF4285F4"/>
      </bottom>
    </border>
    <border>
      <right style="medium">
        <color rgb="FF4285F4"/>
      </right>
      <bottom style="medium">
        <color rgb="FF4285F4"/>
      </bottom>
    </border>
    <border>
      <left style="thick">
        <color rgb="FFA4C2F4"/>
      </left>
      <top style="thick">
        <color rgb="FFA4C2F4"/>
      </top>
      <bottom style="thin">
        <color rgb="FF000000"/>
      </bottom>
    </border>
    <border>
      <top style="thick">
        <color rgb="FFA4C2F4"/>
      </top>
      <bottom style="thin">
        <color rgb="FF000000"/>
      </bottom>
    </border>
    <border>
      <left style="thick">
        <color rgb="FFA4C2F4"/>
      </left>
    </border>
    <border>
      <right style="thick">
        <color rgb="FFA4C2F4"/>
      </right>
    </border>
    <border>
      <left style="thick">
        <color rgb="FFA4C2F4"/>
      </left>
      <bottom style="thick">
        <color rgb="FFA4C2F4"/>
      </bottom>
    </border>
    <border>
      <bottom style="thick">
        <color rgb="FFA4C2F4"/>
      </bottom>
    </border>
    <border>
      <right style="thick">
        <color rgb="FFA4C2F4"/>
      </right>
      <bottom style="thick">
        <color rgb="FFA4C2F4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/>
    </xf>
    <xf borderId="2" fillId="2" fontId="1" numFmtId="164" xfId="0" applyBorder="1" applyFill="1" applyFont="1" applyNumberFormat="1"/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4" fontId="7" numFmtId="0" xfId="0" applyAlignment="1" applyBorder="1" applyFill="1" applyFont="1">
      <alignment readingOrder="0"/>
    </xf>
    <xf borderId="3" fillId="0" fontId="8" numFmtId="0" xfId="0" applyAlignment="1" applyBorder="1" applyFont="1">
      <alignment readingOrder="0"/>
    </xf>
    <xf borderId="4" fillId="0" fontId="8" numFmtId="164" xfId="0" applyAlignment="1" applyBorder="1" applyFont="1" applyNumberFormat="1">
      <alignment readingOrder="0"/>
    </xf>
    <xf borderId="6" fillId="4" fontId="8" numFmtId="0" xfId="0" applyBorder="1" applyFill="1" applyFont="1"/>
    <xf borderId="3" fillId="0" fontId="8" numFmtId="0" xfId="0" applyBorder="1" applyFont="1"/>
    <xf borderId="4" fillId="0" fontId="8" numFmtId="0" xfId="0" applyBorder="1" applyFont="1"/>
    <xf borderId="4" fillId="0" fontId="8" numFmtId="0" xfId="0" applyAlignment="1" applyBorder="1" applyFont="1">
      <alignment readingOrder="0"/>
    </xf>
    <xf borderId="7" fillId="4" fontId="8" numFmtId="0" xfId="0" applyBorder="1" applyFill="1" applyFont="1"/>
    <xf borderId="0" fillId="0" fontId="8" numFmtId="164" xfId="0" applyAlignment="1" applyFont="1" applyNumberFormat="1">
      <alignment readingOrder="0"/>
    </xf>
    <xf borderId="8" fillId="0" fontId="8" numFmtId="16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9" fillId="0" fontId="8" numFmtId="164" xfId="0" applyBorder="1" applyFont="1" applyNumberFormat="1"/>
    <xf borderId="0" fillId="0" fontId="8" numFmtId="164" xfId="0" applyFont="1" applyNumberFormat="1"/>
    <xf borderId="4" fillId="0" fontId="8" numFmtId="164" xfId="0" applyBorder="1" applyFont="1" applyNumberFormat="1"/>
    <xf borderId="0" fillId="0" fontId="5" numFmtId="0" xfId="0" applyAlignment="1" applyFont="1">
      <alignment readingOrder="0"/>
    </xf>
    <xf borderId="10" fillId="0" fontId="9" numFmtId="0" xfId="0" applyAlignment="1" applyBorder="1" applyFont="1">
      <alignment readingOrder="0"/>
    </xf>
    <xf borderId="11" fillId="0" fontId="5" numFmtId="164" xfId="0" applyBorder="1" applyFont="1" applyNumberFormat="1"/>
    <xf borderId="12" fillId="0" fontId="5" numFmtId="164" xfId="0" applyBorder="1" applyFont="1" applyNumberFormat="1"/>
    <xf borderId="0" fillId="0" fontId="5" numFmtId="164" xfId="0" applyFont="1" applyNumberFormat="1"/>
    <xf borderId="0" fillId="0" fontId="5" numFmtId="0" xfId="0" applyFont="1"/>
    <xf borderId="6" fillId="4" fontId="7" numFmtId="0" xfId="0" applyBorder="1" applyFill="1" applyFont="1"/>
    <xf borderId="7" fillId="4" fontId="7" numFmtId="0" xfId="0" applyBorder="1" applyFill="1" applyFont="1"/>
    <xf borderId="8" fillId="0" fontId="8" numFmtId="0" xfId="0" applyAlignment="1" applyBorder="1" applyFont="1">
      <alignment readingOrder="0"/>
    </xf>
    <xf borderId="13" fillId="0" fontId="8" numFmtId="0" xfId="0" applyBorder="1" applyFont="1"/>
    <xf borderId="14" fillId="0" fontId="8" numFmtId="164" xfId="0" applyBorder="1" applyFont="1" applyNumberFormat="1"/>
    <xf borderId="14" fillId="0" fontId="8" numFmtId="0" xfId="0" applyBorder="1" applyFont="1"/>
    <xf borderId="9" fillId="0" fontId="8" numFmtId="0" xfId="0" applyBorder="1" applyFont="1"/>
    <xf borderId="4" fillId="5" fontId="8" numFmtId="164" xfId="0" applyAlignment="1" applyBorder="1" applyFill="1" applyFont="1" applyNumberFormat="1">
      <alignment readingOrder="0"/>
    </xf>
    <xf borderId="10" fillId="0" fontId="8" numFmtId="164" xfId="0" applyAlignment="1" applyBorder="1" applyFont="1" applyNumberFormat="1">
      <alignment readingOrder="0"/>
    </xf>
    <xf borderId="11" fillId="0" fontId="8" numFmtId="164" xfId="0" applyAlignment="1" applyBorder="1" applyFont="1" applyNumberFormat="1">
      <alignment readingOrder="0"/>
    </xf>
    <xf borderId="12" fillId="0" fontId="8" numFmtId="164" xfId="0" applyBorder="1" applyFont="1" applyNumberFormat="1"/>
    <xf borderId="15" fillId="6" fontId="7" numFmtId="0" xfId="0" applyAlignment="1" applyBorder="1" applyFill="1" applyFont="1">
      <alignment readingOrder="0"/>
    </xf>
    <xf borderId="16" fillId="6" fontId="8" numFmtId="0" xfId="0" applyBorder="1" applyFill="1" applyFont="1"/>
    <xf borderId="17" fillId="6" fontId="8" numFmtId="0" xfId="0" applyBorder="1" applyFill="1" applyFont="1"/>
    <xf borderId="18" fillId="0" fontId="9" numFmtId="0" xfId="0" applyAlignment="1" applyBorder="1" applyFont="1">
      <alignment readingOrder="0"/>
    </xf>
    <xf borderId="19" fillId="0" fontId="5" numFmtId="164" xfId="0" applyBorder="1" applyFont="1" applyNumberFormat="1"/>
    <xf borderId="0" fillId="0" fontId="8" numFmtId="0" xfId="0" applyAlignment="1" applyFont="1">
      <alignment readingOrder="0"/>
    </xf>
    <xf borderId="18" fillId="0" fontId="8" numFmtId="0" xfId="0" applyAlignment="1" applyBorder="1" applyFont="1">
      <alignment readingOrder="0"/>
    </xf>
    <xf borderId="19" fillId="0" fontId="8" numFmtId="0" xfId="0" applyBorder="1" applyFont="1"/>
    <xf borderId="18" fillId="0" fontId="8" numFmtId="164" xfId="0" applyAlignment="1" applyBorder="1" applyFont="1" applyNumberFormat="1">
      <alignment readingOrder="0"/>
    </xf>
    <xf borderId="19" fillId="0" fontId="8" numFmtId="164" xfId="0" applyBorder="1" applyFont="1" applyNumberFormat="1"/>
    <xf borderId="19" fillId="0" fontId="5" numFmtId="0" xfId="0" applyBorder="1" applyFont="1"/>
    <xf borderId="20" fillId="0" fontId="9" numFmtId="0" xfId="0" applyAlignment="1" applyBorder="1" applyFont="1">
      <alignment readingOrder="0"/>
    </xf>
    <xf borderId="21" fillId="0" fontId="5" numFmtId="164" xfId="0" applyBorder="1" applyFont="1" applyNumberFormat="1"/>
    <xf borderId="22" fillId="0" fontId="5" numFmtId="164" xfId="0" applyBorder="1" applyFont="1" applyNumberFormat="1"/>
    <xf borderId="0" fillId="0" fontId="9" numFmtId="0" xfId="0" applyFont="1"/>
    <xf borderId="21" fillId="0" fontId="9" numFmtId="164" xfId="0" applyBorder="1" applyFont="1" applyNumberFormat="1"/>
    <xf borderId="22" fillId="0" fontId="9" numFmtId="164" xfId="0" applyBorder="1" applyFont="1" applyNumberFormat="1"/>
    <xf borderId="0" fillId="0" fontId="10" numFmtId="0" xfId="0" applyFont="1"/>
    <xf borderId="23" fillId="7" fontId="7" numFmtId="0" xfId="0" applyAlignment="1" applyBorder="1" applyFill="1" applyFont="1">
      <alignment readingOrder="0"/>
    </xf>
    <xf borderId="24" fillId="7" fontId="1" numFmtId="164" xfId="0" applyBorder="1" applyFill="1" applyFont="1" applyNumberFormat="1"/>
    <xf borderId="25" fillId="7" fontId="1" numFmtId="164" xfId="0" applyBorder="1" applyFill="1" applyFont="1" applyNumberFormat="1"/>
    <xf borderId="26" fillId="0" fontId="8" numFmtId="0" xfId="0" applyAlignment="1" applyBorder="1" applyFont="1">
      <alignment readingOrder="0"/>
    </xf>
    <xf borderId="0" fillId="0" fontId="11" numFmtId="10" xfId="0" applyFont="1" applyNumberFormat="1"/>
    <xf borderId="27" fillId="0" fontId="8" numFmtId="0" xfId="0" applyBorder="1" applyFont="1"/>
    <xf borderId="0" fillId="0" fontId="11" numFmtId="164" xfId="0" applyFont="1" applyNumberFormat="1"/>
    <xf borderId="27" fillId="0" fontId="8" numFmtId="164" xfId="0" applyBorder="1" applyFont="1" applyNumberFormat="1"/>
    <xf borderId="28" fillId="0" fontId="8" numFmtId="0" xfId="0" applyAlignment="1" applyBorder="1" applyFont="1">
      <alignment readingOrder="0"/>
    </xf>
    <xf borderId="29" fillId="0" fontId="12" numFmtId="164" xfId="0" applyBorder="1" applyFont="1" applyNumberFormat="1"/>
    <xf borderId="30" fillId="0" fontId="12" numFmtId="164" xfId="0" applyBorder="1" applyFont="1" applyNumberFormat="1"/>
    <xf borderId="31" fillId="8" fontId="7" numFmtId="0" xfId="0" applyAlignment="1" applyBorder="1" applyFill="1" applyFont="1">
      <alignment readingOrder="0"/>
    </xf>
    <xf borderId="32" fillId="8" fontId="1" numFmtId="164" xfId="0" applyBorder="1" applyFill="1" applyFont="1" applyNumberFormat="1"/>
    <xf borderId="33" fillId="0" fontId="8" numFmtId="0" xfId="0" applyAlignment="1" applyBorder="1" applyFont="1">
      <alignment readingOrder="0"/>
    </xf>
    <xf borderId="34" fillId="0" fontId="8" numFmtId="0" xfId="0" applyBorder="1" applyFont="1"/>
    <xf borderId="35" fillId="0" fontId="8" numFmtId="0" xfId="0" applyAlignment="1" applyBorder="1" applyFont="1">
      <alignment readingOrder="0"/>
    </xf>
    <xf borderId="36" fillId="0" fontId="8" numFmtId="0" xfId="0" applyAlignment="1" applyBorder="1" applyFont="1">
      <alignment readingOrder="0"/>
    </xf>
    <xf borderId="36" fillId="0" fontId="8" numFmtId="0" xfId="0" applyBorder="1" applyFont="1"/>
    <xf borderId="37" fillId="0" fontId="8" numFmtId="0" xfId="0" applyBorder="1" applyFont="1"/>
    <xf borderId="0" fillId="0" fontId="7" numFmtId="0" xfId="0" applyFont="1"/>
    <xf borderId="6" fillId="4" fontId="7" numFmtId="0" xfId="0" applyAlignment="1" applyBorder="1" applyFill="1" applyFont="1">
      <alignment readingOrder="0"/>
    </xf>
    <xf borderId="10" fillId="0" fontId="5" numFmtId="164" xfId="0" applyBorder="1" applyFont="1" applyNumberFormat="1"/>
    <xf borderId="11" fillId="0" fontId="8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63"/>
    <col customWidth="1" min="2" max="2" width="23.38"/>
    <col customWidth="1" min="16" max="16" width="13.38"/>
  </cols>
  <sheetData>
    <row r="1">
      <c r="A1" s="2" t="s">
        <v>1</v>
      </c>
    </row>
    <row r="3">
      <c r="A3" s="4"/>
      <c r="B3" s="4"/>
      <c r="C3" s="5" t="s">
        <v>3</v>
      </c>
      <c r="D3" s="5" t="s">
        <v>5</v>
      </c>
      <c r="E3" s="5" t="s">
        <v>6</v>
      </c>
      <c r="F3" s="5" t="s">
        <v>7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15</v>
      </c>
      <c r="M3" s="5" t="s">
        <v>16</v>
      </c>
      <c r="N3" s="5" t="s">
        <v>17</v>
      </c>
      <c r="O3" s="5" t="s">
        <v>18</v>
      </c>
      <c r="P3" s="6" t="s">
        <v>19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/>
      <c r="B4" s="10" t="s">
        <v>22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7"/>
    </row>
    <row r="5">
      <c r="A5" s="18"/>
      <c r="B5" s="19" t="s">
        <v>27</v>
      </c>
      <c r="C5" s="18">
        <v>2448.03</v>
      </c>
      <c r="D5" s="18">
        <v>2242.4</v>
      </c>
      <c r="E5" s="18">
        <v>2242.4</v>
      </c>
      <c r="F5" s="18">
        <v>2242.4</v>
      </c>
      <c r="G5" s="18">
        <v>2242.4</v>
      </c>
      <c r="H5" s="18">
        <v>2242.4</v>
      </c>
      <c r="I5" s="18">
        <v>2242.4</v>
      </c>
      <c r="J5" s="18">
        <v>2285.51</v>
      </c>
      <c r="K5" s="18">
        <v>2285.51</v>
      </c>
      <c r="L5" s="18">
        <v>2285.51</v>
      </c>
      <c r="M5" s="18">
        <v>2285.51</v>
      </c>
      <c r="N5" s="18">
        <v>2285.51</v>
      </c>
      <c r="O5" s="21">
        <f>SUM(C5:N5)</f>
        <v>27329.98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18"/>
      <c r="B6" s="19" t="s">
        <v>33</v>
      </c>
      <c r="C6" s="18">
        <v>204.08</v>
      </c>
      <c r="D6" s="18">
        <v>194.49</v>
      </c>
      <c r="E6" s="18">
        <v>199.79</v>
      </c>
      <c r="F6" s="18">
        <v>194.88</v>
      </c>
      <c r="G6" s="18">
        <v>200.35</v>
      </c>
      <c r="H6" s="18">
        <v>186.12</v>
      </c>
      <c r="I6" s="18">
        <v>199.01</v>
      </c>
      <c r="J6" s="18">
        <v>203.29</v>
      </c>
      <c r="L6" s="18"/>
      <c r="M6" s="18"/>
      <c r="N6" s="18"/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18"/>
      <c r="B7" s="19" t="s">
        <v>36</v>
      </c>
      <c r="C7" s="18">
        <v>335.0</v>
      </c>
      <c r="D7" s="22"/>
      <c r="E7" s="18">
        <f>141.68 + 3094 +202.2</f>
        <v>3437.88</v>
      </c>
      <c r="F7" s="18">
        <f>44.99 + 62.93</f>
        <v>107.92</v>
      </c>
      <c r="G7" s="22"/>
      <c r="H7" s="22">
        <f>150.05+24+265.97+298.89+1231.06</f>
        <v>1969.97</v>
      </c>
      <c r="I7" s="22">
        <f>49</f>
        <v>49</v>
      </c>
      <c r="J7" s="18">
        <f>85+238.37</f>
        <v>323.37</v>
      </c>
      <c r="K7" s="18">
        <v>2730.0</v>
      </c>
      <c r="L7" s="18"/>
      <c r="M7" s="18"/>
      <c r="N7" s="22"/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24"/>
      <c r="B8" s="25" t="s">
        <v>18</v>
      </c>
      <c r="C8" s="26">
        <f t="shared" ref="C8:N8" si="1">SUM(C5:C7)</f>
        <v>2987.11</v>
      </c>
      <c r="D8" s="26">
        <f t="shared" si="1"/>
        <v>2436.89</v>
      </c>
      <c r="E8" s="26">
        <f t="shared" si="1"/>
        <v>5880.07</v>
      </c>
      <c r="F8" s="26">
        <f t="shared" si="1"/>
        <v>2545.2</v>
      </c>
      <c r="G8" s="26">
        <f t="shared" si="1"/>
        <v>2442.75</v>
      </c>
      <c r="H8" s="26">
        <f t="shared" si="1"/>
        <v>4398.49</v>
      </c>
      <c r="I8" s="26">
        <f t="shared" si="1"/>
        <v>2490.41</v>
      </c>
      <c r="J8" s="26">
        <f t="shared" si="1"/>
        <v>2812.17</v>
      </c>
      <c r="K8" s="26">
        <f t="shared" si="1"/>
        <v>5015.51</v>
      </c>
      <c r="L8" s="26">
        <f t="shared" si="1"/>
        <v>2285.51</v>
      </c>
      <c r="M8" s="26">
        <f t="shared" si="1"/>
        <v>2285.51</v>
      </c>
      <c r="N8" s="26">
        <f t="shared" si="1"/>
        <v>2285.51</v>
      </c>
      <c r="O8" s="27">
        <f>SUM(C8:N8)</f>
        <v>37865.13</v>
      </c>
      <c r="P8" s="28">
        <f>SUM(C8:N8) /12</f>
        <v>3155.4275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10">
      <c r="B10" s="10" t="s">
        <v>92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</row>
    <row r="11">
      <c r="B11" s="32" t="s">
        <v>96</v>
      </c>
      <c r="C11" s="22">
        <f t="shared" ref="C11:N11" si="2">(C8*70)/100</f>
        <v>2090.977</v>
      </c>
      <c r="D11" s="22">
        <f t="shared" si="2"/>
        <v>1705.823</v>
      </c>
      <c r="E11" s="22">
        <f t="shared" si="2"/>
        <v>4116.049</v>
      </c>
      <c r="F11" s="22">
        <f t="shared" si="2"/>
        <v>1781.64</v>
      </c>
      <c r="G11" s="22">
        <f t="shared" si="2"/>
        <v>1709.925</v>
      </c>
      <c r="H11" s="22">
        <f t="shared" si="2"/>
        <v>3078.943</v>
      </c>
      <c r="I11" s="22">
        <f t="shared" si="2"/>
        <v>1743.287</v>
      </c>
      <c r="J11" s="22">
        <f t="shared" si="2"/>
        <v>1968.519</v>
      </c>
      <c r="K11" s="22">
        <f t="shared" si="2"/>
        <v>3510.857</v>
      </c>
      <c r="L11" s="22">
        <f t="shared" si="2"/>
        <v>1599.857</v>
      </c>
      <c r="M11" s="22">
        <f t="shared" si="2"/>
        <v>1599.857</v>
      </c>
      <c r="N11" s="22">
        <f t="shared" si="2"/>
        <v>1599.857</v>
      </c>
      <c r="O11" s="36"/>
    </row>
    <row r="12">
      <c r="B12" s="32" t="s">
        <v>100</v>
      </c>
      <c r="C12" s="22">
        <f t="shared" ref="C12:N12" si="3">(C8*20)/100</f>
        <v>597.422</v>
      </c>
      <c r="D12" s="22">
        <f t="shared" si="3"/>
        <v>487.378</v>
      </c>
      <c r="E12" s="22">
        <f t="shared" si="3"/>
        <v>1176.014</v>
      </c>
      <c r="F12" s="22">
        <f t="shared" si="3"/>
        <v>509.04</v>
      </c>
      <c r="G12" s="22">
        <f t="shared" si="3"/>
        <v>488.55</v>
      </c>
      <c r="H12" s="22">
        <f t="shared" si="3"/>
        <v>879.698</v>
      </c>
      <c r="I12" s="22">
        <f t="shared" si="3"/>
        <v>498.082</v>
      </c>
      <c r="J12" s="22">
        <f t="shared" si="3"/>
        <v>562.434</v>
      </c>
      <c r="K12" s="22">
        <f t="shared" si="3"/>
        <v>1003.102</v>
      </c>
      <c r="L12" s="22">
        <f t="shared" si="3"/>
        <v>457.102</v>
      </c>
      <c r="M12" s="22">
        <f t="shared" si="3"/>
        <v>457.102</v>
      </c>
      <c r="N12" s="22">
        <f t="shared" si="3"/>
        <v>457.102</v>
      </c>
      <c r="O12" s="36"/>
    </row>
    <row r="13">
      <c r="A13" s="22"/>
      <c r="B13" s="38" t="s">
        <v>101</v>
      </c>
      <c r="C13" s="39">
        <v>250.0</v>
      </c>
      <c r="D13" s="39">
        <f t="shared" ref="D13:N13" si="4">(D8*10)/100</f>
        <v>243.689</v>
      </c>
      <c r="E13" s="39">
        <f t="shared" si="4"/>
        <v>588.007</v>
      </c>
      <c r="F13" s="39">
        <f t="shared" si="4"/>
        <v>254.52</v>
      </c>
      <c r="G13" s="39">
        <f t="shared" si="4"/>
        <v>244.275</v>
      </c>
      <c r="H13" s="39">
        <f t="shared" si="4"/>
        <v>439.849</v>
      </c>
      <c r="I13" s="39">
        <f t="shared" si="4"/>
        <v>249.041</v>
      </c>
      <c r="J13" s="39">
        <f t="shared" si="4"/>
        <v>281.217</v>
      </c>
      <c r="K13" s="39">
        <f t="shared" si="4"/>
        <v>501.551</v>
      </c>
      <c r="L13" s="39">
        <f t="shared" si="4"/>
        <v>228.551</v>
      </c>
      <c r="M13" s="39">
        <f t="shared" si="4"/>
        <v>228.551</v>
      </c>
      <c r="N13" s="39">
        <f t="shared" si="4"/>
        <v>228.551</v>
      </c>
      <c r="O13" s="40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5">
      <c r="A15" s="9"/>
      <c r="B15" s="41" t="s">
        <v>102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</row>
    <row r="16">
      <c r="A16" s="24"/>
      <c r="B16" s="44" t="s">
        <v>103</v>
      </c>
      <c r="C16" s="28">
        <f t="shared" ref="C16:N16" si="5">SUM(C17:C21)</f>
        <v>785.9</v>
      </c>
      <c r="D16" s="28">
        <f t="shared" si="5"/>
        <v>840.98</v>
      </c>
      <c r="E16" s="28">
        <f t="shared" si="5"/>
        <v>1555.9</v>
      </c>
      <c r="F16" s="28">
        <f t="shared" si="5"/>
        <v>1555.9</v>
      </c>
      <c r="G16" s="28">
        <f t="shared" si="5"/>
        <v>1555.9</v>
      </c>
      <c r="H16" s="28">
        <f t="shared" si="5"/>
        <v>844.99</v>
      </c>
      <c r="I16" s="28">
        <f t="shared" si="5"/>
        <v>844.99</v>
      </c>
      <c r="J16" s="28">
        <f t="shared" si="5"/>
        <v>844.99</v>
      </c>
      <c r="K16" s="28">
        <f t="shared" si="5"/>
        <v>800</v>
      </c>
      <c r="L16" s="28">
        <f t="shared" si="5"/>
        <v>800</v>
      </c>
      <c r="M16" s="28">
        <f t="shared" si="5"/>
        <v>800</v>
      </c>
      <c r="N16" s="28">
        <f t="shared" si="5"/>
        <v>800</v>
      </c>
      <c r="O16" s="45">
        <f>SUM(C16:N16)</f>
        <v>12029.55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6"/>
      <c r="B17" s="47" t="s">
        <v>104</v>
      </c>
      <c r="C17" s="18">
        <v>680.91</v>
      </c>
      <c r="D17" s="18">
        <v>680.91</v>
      </c>
      <c r="E17" s="18">
        <f t="shared" ref="E17:G17" si="6">650.91 +800</f>
        <v>1450.91</v>
      </c>
      <c r="F17" s="18">
        <f t="shared" si="6"/>
        <v>1450.91</v>
      </c>
      <c r="G17" s="18">
        <f t="shared" si="6"/>
        <v>1450.91</v>
      </c>
      <c r="H17" s="18">
        <v>800.0</v>
      </c>
      <c r="I17" s="18">
        <v>800.0</v>
      </c>
      <c r="J17" s="18">
        <v>800.0</v>
      </c>
      <c r="K17" s="18">
        <v>800.0</v>
      </c>
      <c r="L17" s="18">
        <v>800.0</v>
      </c>
      <c r="M17" s="18">
        <v>800.0</v>
      </c>
      <c r="N17" s="18">
        <v>800.0</v>
      </c>
      <c r="O17" s="48"/>
    </row>
    <row r="18">
      <c r="A18" s="46"/>
      <c r="B18" s="47" t="s">
        <v>105</v>
      </c>
      <c r="C18" s="18">
        <v>60.0</v>
      </c>
      <c r="D18" s="18">
        <v>60.0</v>
      </c>
      <c r="E18" s="18">
        <v>60.0</v>
      </c>
      <c r="F18" s="18">
        <v>60.0</v>
      </c>
      <c r="G18" s="18">
        <v>60.0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48"/>
    </row>
    <row r="19">
      <c r="A19" s="46"/>
      <c r="B19" s="47" t="s">
        <v>106</v>
      </c>
      <c r="C19" s="18">
        <v>44.99</v>
      </c>
      <c r="D19" s="18">
        <v>44.99</v>
      </c>
      <c r="E19" s="18">
        <v>44.99</v>
      </c>
      <c r="F19" s="18">
        <v>44.99</v>
      </c>
      <c r="G19" s="18">
        <v>44.99</v>
      </c>
      <c r="H19" s="18">
        <v>44.99</v>
      </c>
      <c r="I19" s="18">
        <v>44.99</v>
      </c>
      <c r="J19" s="18">
        <v>44.99</v>
      </c>
      <c r="K19" s="18">
        <v>0.0</v>
      </c>
      <c r="L19" s="18">
        <v>0.0</v>
      </c>
      <c r="M19" s="18">
        <v>0.0</v>
      </c>
      <c r="N19" s="18">
        <v>0.0</v>
      </c>
      <c r="O19" s="48"/>
    </row>
    <row r="20">
      <c r="A20" s="18"/>
      <c r="B20" s="49" t="s">
        <v>107</v>
      </c>
      <c r="C20" s="18">
        <v>0.0</v>
      </c>
      <c r="D20" s="18">
        <v>0.0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18">
        <v>0.0</v>
      </c>
      <c r="K20" s="18">
        <v>0.0</v>
      </c>
      <c r="L20" s="18">
        <v>0.0</v>
      </c>
      <c r="M20" s="18">
        <v>0.0</v>
      </c>
      <c r="N20" s="18">
        <v>0.0</v>
      </c>
      <c r="O20" s="50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18"/>
      <c r="B21" s="49" t="s">
        <v>108</v>
      </c>
      <c r="C21" s="18">
        <v>0.0</v>
      </c>
      <c r="D21" s="18">
        <v>55.08</v>
      </c>
      <c r="E21" s="18">
        <v>0.0</v>
      </c>
      <c r="F21" s="18">
        <v>0.0</v>
      </c>
      <c r="G21" s="18">
        <v>0.0</v>
      </c>
      <c r="H21" s="18">
        <v>0.0</v>
      </c>
      <c r="I21" s="18">
        <v>0.0</v>
      </c>
      <c r="J21" s="18">
        <v>0.0</v>
      </c>
      <c r="K21" s="18">
        <v>0.0</v>
      </c>
      <c r="L21" s="18">
        <v>0.0</v>
      </c>
      <c r="M21" s="18">
        <v>0.0</v>
      </c>
      <c r="N21" s="18">
        <v>0.0</v>
      </c>
      <c r="O21" s="50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4"/>
      <c r="B22" s="44" t="s">
        <v>109</v>
      </c>
      <c r="C22" s="28">
        <f t="shared" ref="C22:N22" si="7">SUM(C23:C24)</f>
        <v>0</v>
      </c>
      <c r="D22" s="28">
        <f t="shared" si="7"/>
        <v>0</v>
      </c>
      <c r="E22" s="28">
        <f t="shared" si="7"/>
        <v>0</v>
      </c>
      <c r="F22" s="28">
        <f t="shared" si="7"/>
        <v>0</v>
      </c>
      <c r="G22" s="28">
        <f t="shared" si="7"/>
        <v>0</v>
      </c>
      <c r="H22" s="28">
        <f t="shared" si="7"/>
        <v>0</v>
      </c>
      <c r="I22" s="28">
        <f t="shared" si="7"/>
        <v>0</v>
      </c>
      <c r="J22" s="28">
        <f t="shared" si="7"/>
        <v>13.6</v>
      </c>
      <c r="K22" s="28">
        <f t="shared" si="7"/>
        <v>50.22</v>
      </c>
      <c r="L22" s="28">
        <f t="shared" si="7"/>
        <v>0</v>
      </c>
      <c r="M22" s="28">
        <f t="shared" si="7"/>
        <v>0</v>
      </c>
      <c r="N22" s="28">
        <f t="shared" si="7"/>
        <v>80.56</v>
      </c>
      <c r="O22" s="45">
        <f>SUM(C22:N22)</f>
        <v>144.38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6"/>
      <c r="B23" s="47" t="s">
        <v>110</v>
      </c>
      <c r="C23" s="18">
        <v>0.0</v>
      </c>
      <c r="D23" s="18">
        <v>0.0</v>
      </c>
      <c r="E23" s="18">
        <v>0.0</v>
      </c>
      <c r="F23" s="18">
        <v>0.0</v>
      </c>
      <c r="G23" s="18">
        <v>0.0</v>
      </c>
      <c r="H23" s="18">
        <v>0.0</v>
      </c>
      <c r="I23" s="18">
        <v>0.0</v>
      </c>
      <c r="J23" s="18">
        <v>0.0</v>
      </c>
      <c r="K23" s="18">
        <v>50.22</v>
      </c>
      <c r="L23" s="18">
        <v>0.0</v>
      </c>
      <c r="M23" s="18">
        <v>0.0</v>
      </c>
      <c r="N23" s="18">
        <v>80.56</v>
      </c>
      <c r="O23" s="48"/>
    </row>
    <row r="24">
      <c r="A24" s="46"/>
      <c r="B24" s="47" t="s">
        <v>111</v>
      </c>
      <c r="C24" s="18">
        <v>0.0</v>
      </c>
      <c r="D24" s="18">
        <v>0.0</v>
      </c>
      <c r="E24" s="18">
        <v>0.0</v>
      </c>
      <c r="F24" s="18">
        <v>0.0</v>
      </c>
      <c r="G24" s="18">
        <v>0.0</v>
      </c>
      <c r="H24" s="18">
        <v>0.0</v>
      </c>
      <c r="I24" s="18">
        <v>0.0</v>
      </c>
      <c r="J24" s="18">
        <v>13.6</v>
      </c>
      <c r="K24" s="18">
        <v>0.0</v>
      </c>
      <c r="L24" s="18">
        <v>0.0</v>
      </c>
      <c r="M24" s="18">
        <v>0.0</v>
      </c>
      <c r="N24" s="18">
        <v>0.0</v>
      </c>
      <c r="O24" s="48"/>
    </row>
    <row r="25">
      <c r="A25" s="24"/>
      <c r="B25" s="44" t="s">
        <v>112</v>
      </c>
      <c r="C25" s="28">
        <f t="shared" ref="C25:N25" si="8">SUM(C26:C27)</f>
        <v>37.9</v>
      </c>
      <c r="D25" s="28">
        <f t="shared" si="8"/>
        <v>37.9</v>
      </c>
      <c r="E25" s="28">
        <f t="shared" si="8"/>
        <v>37.9</v>
      </c>
      <c r="F25" s="28">
        <f t="shared" si="8"/>
        <v>37.9</v>
      </c>
      <c r="G25" s="28">
        <f t="shared" si="8"/>
        <v>37.9</v>
      </c>
      <c r="H25" s="28">
        <f t="shared" si="8"/>
        <v>37.9</v>
      </c>
      <c r="I25" s="28">
        <f t="shared" si="8"/>
        <v>37.9</v>
      </c>
      <c r="J25" s="28">
        <f t="shared" si="8"/>
        <v>37.9</v>
      </c>
      <c r="K25" s="28">
        <f t="shared" si="8"/>
        <v>37.9</v>
      </c>
      <c r="L25" s="28">
        <f t="shared" si="8"/>
        <v>157.9</v>
      </c>
      <c r="M25" s="28">
        <f t="shared" si="8"/>
        <v>37.9</v>
      </c>
      <c r="N25" s="28">
        <f t="shared" si="8"/>
        <v>37.9</v>
      </c>
      <c r="O25" s="45">
        <f>SUM(C25:N25)</f>
        <v>574.8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6"/>
      <c r="B26" s="47" t="s">
        <v>113</v>
      </c>
      <c r="C26" s="18">
        <v>0.0</v>
      </c>
      <c r="D26" s="18">
        <v>0.0</v>
      </c>
      <c r="E26" s="18">
        <v>0.0</v>
      </c>
      <c r="F26" s="18">
        <v>0.0</v>
      </c>
      <c r="G26" s="18">
        <v>0.0</v>
      </c>
      <c r="H26" s="18">
        <v>0.0</v>
      </c>
      <c r="I26" s="18">
        <v>0.0</v>
      </c>
      <c r="J26" s="18">
        <v>0.0</v>
      </c>
      <c r="K26" s="18">
        <v>0.0</v>
      </c>
      <c r="L26" s="18">
        <v>120.0</v>
      </c>
      <c r="M26" s="18">
        <v>0.0</v>
      </c>
      <c r="N26" s="18">
        <v>0.0</v>
      </c>
      <c r="O26" s="48"/>
    </row>
    <row r="27">
      <c r="A27" s="46"/>
      <c r="B27" s="47" t="s">
        <v>114</v>
      </c>
      <c r="C27" s="18">
        <v>37.9</v>
      </c>
      <c r="D27" s="18">
        <v>37.9</v>
      </c>
      <c r="E27" s="18">
        <v>37.9</v>
      </c>
      <c r="F27" s="18">
        <v>37.9</v>
      </c>
      <c r="G27" s="18">
        <v>37.9</v>
      </c>
      <c r="H27" s="18">
        <v>37.9</v>
      </c>
      <c r="I27" s="18">
        <v>37.9</v>
      </c>
      <c r="J27" s="18">
        <v>37.9</v>
      </c>
      <c r="K27" s="18">
        <v>37.9</v>
      </c>
      <c r="L27" s="18">
        <v>37.9</v>
      </c>
      <c r="M27" s="18">
        <v>37.9</v>
      </c>
      <c r="N27" s="18">
        <v>37.9</v>
      </c>
      <c r="O27" s="48"/>
    </row>
    <row r="28">
      <c r="A28" s="46"/>
      <c r="B28" s="47" t="s">
        <v>115</v>
      </c>
      <c r="C28" s="18">
        <v>96.0</v>
      </c>
      <c r="D28" s="18">
        <v>0.0</v>
      </c>
      <c r="E28" s="18">
        <v>0.0</v>
      </c>
      <c r="F28" s="18">
        <v>0.0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48"/>
    </row>
    <row r="29">
      <c r="A29" s="24"/>
      <c r="B29" s="44" t="s">
        <v>2</v>
      </c>
      <c r="C29" s="28">
        <f t="shared" ref="C29:N29" si="9">SUM(C30:C32)</f>
        <v>143</v>
      </c>
      <c r="D29" s="28">
        <f t="shared" si="9"/>
        <v>700.06</v>
      </c>
      <c r="E29" s="28">
        <f t="shared" si="9"/>
        <v>0</v>
      </c>
      <c r="F29" s="28">
        <f t="shared" si="9"/>
        <v>0</v>
      </c>
      <c r="G29" s="28">
        <f t="shared" si="9"/>
        <v>0</v>
      </c>
      <c r="H29" s="28">
        <f t="shared" si="9"/>
        <v>0</v>
      </c>
      <c r="I29" s="28">
        <f t="shared" si="9"/>
        <v>0</v>
      </c>
      <c r="J29" s="28">
        <f t="shared" si="9"/>
        <v>0</v>
      </c>
      <c r="K29" s="28">
        <f t="shared" si="9"/>
        <v>0</v>
      </c>
      <c r="L29" s="28">
        <f t="shared" si="9"/>
        <v>0</v>
      </c>
      <c r="M29" s="28">
        <f t="shared" si="9"/>
        <v>0</v>
      </c>
      <c r="N29" s="28">
        <f t="shared" si="9"/>
        <v>0</v>
      </c>
      <c r="O29" s="51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6"/>
      <c r="B30" s="47" t="s">
        <v>116</v>
      </c>
      <c r="C30" s="18">
        <v>0.0</v>
      </c>
      <c r="D30" s="18">
        <v>700.06</v>
      </c>
      <c r="E30" s="18">
        <v>0.0</v>
      </c>
      <c r="F30" s="18">
        <v>0.0</v>
      </c>
      <c r="G30" s="18">
        <v>0.0</v>
      </c>
      <c r="H30" s="18">
        <v>0.0</v>
      </c>
      <c r="I30" s="18">
        <v>0.0</v>
      </c>
      <c r="J30" s="18">
        <v>0.0</v>
      </c>
      <c r="K30" s="18">
        <v>0.0</v>
      </c>
      <c r="L30" s="18">
        <v>0.0</v>
      </c>
      <c r="M30" s="18">
        <v>0.0</v>
      </c>
      <c r="N30" s="18">
        <v>0.0</v>
      </c>
      <c r="O30" s="48"/>
    </row>
    <row r="31">
      <c r="A31" s="46"/>
      <c r="B31" s="47" t="s">
        <v>117</v>
      </c>
      <c r="C31" s="18">
        <v>79.0</v>
      </c>
      <c r="D31" s="18">
        <v>0.0</v>
      </c>
      <c r="E31" s="18">
        <v>0.0</v>
      </c>
      <c r="F31" s="18">
        <v>0.0</v>
      </c>
      <c r="G31" s="18">
        <v>0.0</v>
      </c>
      <c r="H31" s="18">
        <v>0.0</v>
      </c>
      <c r="I31" s="18">
        <v>0.0</v>
      </c>
      <c r="J31" s="18">
        <v>0.0</v>
      </c>
      <c r="K31" s="18">
        <v>0.0</v>
      </c>
      <c r="L31" s="18">
        <v>0.0</v>
      </c>
      <c r="M31" s="18">
        <v>0.0</v>
      </c>
      <c r="N31" s="18">
        <v>0.0</v>
      </c>
      <c r="O31" s="48"/>
    </row>
    <row r="32">
      <c r="A32" s="18"/>
      <c r="B32" s="49" t="s">
        <v>118</v>
      </c>
      <c r="C32" s="18">
        <v>64.0</v>
      </c>
      <c r="D32" s="18">
        <v>0.0</v>
      </c>
      <c r="E32" s="18">
        <v>0.0</v>
      </c>
      <c r="F32" s="18">
        <v>0.0</v>
      </c>
      <c r="G32" s="18">
        <v>0.0</v>
      </c>
      <c r="H32" s="18">
        <v>0.0</v>
      </c>
      <c r="I32" s="18">
        <v>0.0</v>
      </c>
      <c r="J32" s="18">
        <v>0.0</v>
      </c>
      <c r="K32" s="18">
        <v>0.0</v>
      </c>
      <c r="L32" s="18">
        <v>0.0</v>
      </c>
      <c r="M32" s="18">
        <v>0.0</v>
      </c>
      <c r="N32" s="18">
        <v>0.0</v>
      </c>
      <c r="O32" s="50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4"/>
      <c r="B33" s="44" t="s">
        <v>119</v>
      </c>
      <c r="C33" s="28">
        <f t="shared" ref="C33:N33" si="10">SUM(C34:C40)</f>
        <v>84.36</v>
      </c>
      <c r="D33" s="28">
        <f t="shared" si="10"/>
        <v>88.85</v>
      </c>
      <c r="E33" s="28">
        <f t="shared" si="10"/>
        <v>84.36</v>
      </c>
      <c r="F33" s="28">
        <f t="shared" si="10"/>
        <v>84.36</v>
      </c>
      <c r="G33" s="28">
        <f t="shared" si="10"/>
        <v>84.36</v>
      </c>
      <c r="H33" s="28">
        <f t="shared" si="10"/>
        <v>84.36</v>
      </c>
      <c r="I33" s="28">
        <f t="shared" si="10"/>
        <v>84.36</v>
      </c>
      <c r="J33" s="28">
        <f t="shared" si="10"/>
        <v>84.36</v>
      </c>
      <c r="K33" s="28">
        <f t="shared" si="10"/>
        <v>74.36</v>
      </c>
      <c r="L33" s="28">
        <f t="shared" si="10"/>
        <v>74.36</v>
      </c>
      <c r="M33" s="28">
        <f t="shared" si="10"/>
        <v>74.36</v>
      </c>
      <c r="N33" s="28">
        <f t="shared" si="10"/>
        <v>74.36</v>
      </c>
      <c r="O33" s="45">
        <f>SUM(C33:N33)</f>
        <v>976.81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6"/>
      <c r="B34" s="47" t="s">
        <v>120</v>
      </c>
      <c r="C34" s="18">
        <v>5.5</v>
      </c>
      <c r="D34" s="18">
        <v>5.5</v>
      </c>
      <c r="E34" s="18">
        <v>5.5</v>
      </c>
      <c r="F34" s="18">
        <v>5.5</v>
      </c>
      <c r="G34" s="18">
        <v>5.5</v>
      </c>
      <c r="H34" s="18">
        <v>5.5</v>
      </c>
      <c r="I34" s="18">
        <v>5.5</v>
      </c>
      <c r="J34" s="18">
        <v>5.5</v>
      </c>
      <c r="K34" s="18">
        <v>5.5</v>
      </c>
      <c r="L34" s="18">
        <v>5.5</v>
      </c>
      <c r="M34" s="18">
        <v>5.5</v>
      </c>
      <c r="N34" s="18">
        <v>5.5</v>
      </c>
      <c r="O34" s="48"/>
    </row>
    <row r="35">
      <c r="A35" s="46"/>
      <c r="B35" s="47" t="s">
        <v>121</v>
      </c>
      <c r="C35" s="18">
        <f t="shared" ref="C35:N35" si="11">8.99+2.99</f>
        <v>11.98</v>
      </c>
      <c r="D35" s="18">
        <f t="shared" si="11"/>
        <v>11.98</v>
      </c>
      <c r="E35" s="18">
        <f t="shared" si="11"/>
        <v>11.98</v>
      </c>
      <c r="F35" s="18">
        <f t="shared" si="11"/>
        <v>11.98</v>
      </c>
      <c r="G35" s="18">
        <f t="shared" si="11"/>
        <v>11.98</v>
      </c>
      <c r="H35" s="18">
        <f t="shared" si="11"/>
        <v>11.98</v>
      </c>
      <c r="I35" s="18">
        <f t="shared" si="11"/>
        <v>11.98</v>
      </c>
      <c r="J35" s="18">
        <f t="shared" si="11"/>
        <v>11.98</v>
      </c>
      <c r="K35" s="18">
        <f t="shared" si="11"/>
        <v>11.98</v>
      </c>
      <c r="L35" s="18">
        <f t="shared" si="11"/>
        <v>11.98</v>
      </c>
      <c r="M35" s="18">
        <f t="shared" si="11"/>
        <v>11.98</v>
      </c>
      <c r="N35" s="18">
        <f t="shared" si="11"/>
        <v>11.98</v>
      </c>
      <c r="O35" s="48"/>
    </row>
    <row r="36">
      <c r="A36" s="46"/>
      <c r="B36" s="47" t="s">
        <v>127</v>
      </c>
      <c r="C36" s="18">
        <v>19.99</v>
      </c>
      <c r="D36" s="18">
        <v>19.99</v>
      </c>
      <c r="E36" s="18">
        <v>19.99</v>
      </c>
      <c r="F36" s="18">
        <v>19.99</v>
      </c>
      <c r="G36" s="18">
        <v>19.99</v>
      </c>
      <c r="H36" s="18">
        <v>19.99</v>
      </c>
      <c r="I36" s="18">
        <v>19.99</v>
      </c>
      <c r="J36" s="18">
        <v>19.99</v>
      </c>
      <c r="K36" s="18">
        <v>9.99</v>
      </c>
      <c r="L36" s="18">
        <v>9.99</v>
      </c>
      <c r="M36" s="18">
        <v>9.99</v>
      </c>
      <c r="N36" s="18">
        <v>9.99</v>
      </c>
      <c r="O36" s="48"/>
    </row>
    <row r="37">
      <c r="A37" s="46"/>
      <c r="B37" s="47" t="s">
        <v>129</v>
      </c>
      <c r="C37" s="18">
        <v>13.99</v>
      </c>
      <c r="D37" s="18">
        <v>18.48</v>
      </c>
      <c r="E37" s="18">
        <v>13.99</v>
      </c>
      <c r="F37" s="18">
        <v>13.99</v>
      </c>
      <c r="G37" s="18">
        <v>13.99</v>
      </c>
      <c r="H37" s="18">
        <v>13.99</v>
      </c>
      <c r="I37" s="18">
        <v>13.99</v>
      </c>
      <c r="J37" s="18">
        <v>13.99</v>
      </c>
      <c r="K37" s="18">
        <v>13.99</v>
      </c>
      <c r="L37" s="18">
        <v>13.99</v>
      </c>
      <c r="M37" s="18">
        <v>13.99</v>
      </c>
      <c r="N37" s="18">
        <v>13.99</v>
      </c>
      <c r="O37" s="48"/>
    </row>
    <row r="38">
      <c r="A38" s="46"/>
      <c r="B38" s="47" t="s">
        <v>132</v>
      </c>
      <c r="C38" s="18">
        <v>21.42</v>
      </c>
      <c r="D38" s="18">
        <v>21.42</v>
      </c>
      <c r="E38" s="18">
        <v>21.42</v>
      </c>
      <c r="F38" s="18">
        <v>21.42</v>
      </c>
      <c r="G38" s="18">
        <v>21.42</v>
      </c>
      <c r="H38" s="18">
        <v>21.42</v>
      </c>
      <c r="I38" s="18">
        <v>21.42</v>
      </c>
      <c r="J38" s="18">
        <v>21.42</v>
      </c>
      <c r="K38" s="18">
        <v>21.42</v>
      </c>
      <c r="L38" s="18">
        <v>21.42</v>
      </c>
      <c r="M38" s="18">
        <v>21.42</v>
      </c>
      <c r="N38" s="18">
        <v>21.42</v>
      </c>
      <c r="O38" s="48"/>
    </row>
    <row r="39">
      <c r="A39" s="46"/>
      <c r="B39" s="47" t="s">
        <v>137</v>
      </c>
      <c r="C39" s="18">
        <v>1.49</v>
      </c>
      <c r="D39" s="18">
        <v>1.49</v>
      </c>
      <c r="E39" s="18">
        <v>1.49</v>
      </c>
      <c r="F39" s="18">
        <v>1.49</v>
      </c>
      <c r="G39" s="18">
        <v>1.49</v>
      </c>
      <c r="H39" s="18">
        <v>1.49</v>
      </c>
      <c r="I39" s="18">
        <v>1.49</v>
      </c>
      <c r="J39" s="18">
        <v>1.49</v>
      </c>
      <c r="K39" s="18">
        <v>1.49</v>
      </c>
      <c r="L39" s="18">
        <v>1.49</v>
      </c>
      <c r="M39" s="18">
        <v>1.49</v>
      </c>
      <c r="N39" s="18">
        <v>1.49</v>
      </c>
      <c r="O39" s="48"/>
    </row>
    <row r="40">
      <c r="A40" s="46"/>
      <c r="B40" s="47" t="s">
        <v>139</v>
      </c>
      <c r="C40" s="18">
        <v>9.99</v>
      </c>
      <c r="D40" s="18">
        <v>9.99</v>
      </c>
      <c r="E40" s="18">
        <v>9.99</v>
      </c>
      <c r="F40" s="18">
        <v>9.99</v>
      </c>
      <c r="G40" s="18">
        <v>9.99</v>
      </c>
      <c r="H40" s="18">
        <v>9.99</v>
      </c>
      <c r="I40" s="18">
        <v>9.99</v>
      </c>
      <c r="J40" s="18">
        <v>9.99</v>
      </c>
      <c r="K40" s="18">
        <v>9.99</v>
      </c>
      <c r="L40" s="18">
        <v>9.99</v>
      </c>
      <c r="M40" s="18">
        <v>9.99</v>
      </c>
      <c r="N40" s="18">
        <v>9.99</v>
      </c>
      <c r="O40" s="48"/>
    </row>
    <row r="41">
      <c r="A41" s="24"/>
      <c r="B41" s="52" t="s">
        <v>18</v>
      </c>
      <c r="C41" s="53">
        <f t="shared" ref="C41:D41" si="12">SUM(C16+C22+C25+C33+C29)</f>
        <v>1051.16</v>
      </c>
      <c r="D41" s="53">
        <f t="shared" si="12"/>
        <v>1667.79</v>
      </c>
      <c r="E41" s="53">
        <f t="shared" ref="E41:N41" si="13">SUM(E16+E22+E25+E33)</f>
        <v>1678.16</v>
      </c>
      <c r="F41" s="53">
        <f t="shared" si="13"/>
        <v>1678.16</v>
      </c>
      <c r="G41" s="53">
        <f t="shared" si="13"/>
        <v>1678.16</v>
      </c>
      <c r="H41" s="53">
        <f t="shared" si="13"/>
        <v>967.25</v>
      </c>
      <c r="I41" s="53">
        <f t="shared" si="13"/>
        <v>967.25</v>
      </c>
      <c r="J41" s="53">
        <f t="shared" si="13"/>
        <v>980.85</v>
      </c>
      <c r="K41" s="53">
        <f t="shared" si="13"/>
        <v>962.48</v>
      </c>
      <c r="L41" s="53">
        <f t="shared" si="13"/>
        <v>1032.26</v>
      </c>
      <c r="M41" s="53">
        <f t="shared" si="13"/>
        <v>912.26</v>
      </c>
      <c r="N41" s="53">
        <f t="shared" si="13"/>
        <v>992.82</v>
      </c>
      <c r="O41" s="54">
        <f>SUM(C41:N41)</f>
        <v>14568.6</v>
      </c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3">
      <c r="B43" s="41" t="s">
        <v>149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3"/>
    </row>
    <row r="44">
      <c r="B44" s="47" t="s">
        <v>0</v>
      </c>
      <c r="C44" s="22">
        <f>Januar!B1</f>
        <v>451.605</v>
      </c>
      <c r="D44" s="22">
        <f>Februar!B1</f>
        <v>617.26</v>
      </c>
      <c r="E44" s="22">
        <f>'März'!B1</f>
        <v>596.13</v>
      </c>
      <c r="F44" s="22">
        <f>April!B1</f>
        <v>359.3</v>
      </c>
      <c r="G44" s="22">
        <f>Mai!B1</f>
        <v>184.26</v>
      </c>
      <c r="H44" s="22">
        <f>Juni!B1</f>
        <v>221.124</v>
      </c>
      <c r="I44" s="22">
        <f>Juli!B1</f>
        <v>363.51</v>
      </c>
      <c r="J44" s="22">
        <f>August!B1</f>
        <v>157.13</v>
      </c>
      <c r="K44" s="22">
        <f>September!B1</f>
        <v>0</v>
      </c>
      <c r="L44" s="22">
        <f>Oktober!B1</f>
        <v>0</v>
      </c>
      <c r="M44" s="22">
        <f>November!B1</f>
        <v>0</v>
      </c>
      <c r="N44" s="22">
        <f>Dezember!B1</f>
        <v>0</v>
      </c>
      <c r="O44" s="48"/>
    </row>
    <row r="45">
      <c r="B45" s="47" t="s">
        <v>2</v>
      </c>
      <c r="C45" s="22">
        <f>Januar!E1</f>
        <v>108.45</v>
      </c>
      <c r="D45" s="22">
        <f>Februar!E1</f>
        <v>200.95</v>
      </c>
      <c r="E45" s="22">
        <f>'März'!H1</f>
        <v>0</v>
      </c>
      <c r="F45" s="22">
        <f>April!E1</f>
        <v>119.27</v>
      </c>
      <c r="G45" s="22">
        <f>Mai!E1</f>
        <v>40</v>
      </c>
      <c r="H45" s="22">
        <f>Juni!E1</f>
        <v>109.26</v>
      </c>
      <c r="I45" s="22">
        <f>Juli!E1</f>
        <v>156.44</v>
      </c>
      <c r="J45" s="22">
        <f>August!E1</f>
        <v>181.07</v>
      </c>
      <c r="K45" s="22">
        <f>September!E1</f>
        <v>0</v>
      </c>
      <c r="L45" s="22">
        <f>Oktober!E1</f>
        <v>0</v>
      </c>
      <c r="M45" s="22">
        <f>November!E1</f>
        <v>0</v>
      </c>
      <c r="N45" s="22">
        <f>Dezember!E1</f>
        <v>0</v>
      </c>
      <c r="O45" s="48"/>
    </row>
    <row r="46">
      <c r="B46" s="47" t="s">
        <v>4</v>
      </c>
      <c r="C46" s="22">
        <f>Januar!H1</f>
        <v>0</v>
      </c>
      <c r="D46" s="22">
        <f>Februar!H1</f>
        <v>0</v>
      </c>
      <c r="E46" s="22">
        <f>'März'!H1</f>
        <v>0</v>
      </c>
      <c r="F46" s="22">
        <f>April!H1</f>
        <v>0</v>
      </c>
      <c r="G46" s="22">
        <f>Mai!H1</f>
        <v>0</v>
      </c>
      <c r="H46" s="22">
        <f>Juni!H1</f>
        <v>0</v>
      </c>
      <c r="I46" s="22">
        <f>Juli!H1</f>
        <v>0</v>
      </c>
      <c r="J46" s="22">
        <f>August!H1</f>
        <v>0</v>
      </c>
      <c r="K46" s="22">
        <f>September!H1</f>
        <v>0</v>
      </c>
      <c r="L46" s="22">
        <f>Oktober!H1</f>
        <v>0</v>
      </c>
      <c r="M46" s="22">
        <f>November!H1</f>
        <v>0</v>
      </c>
      <c r="N46" s="22">
        <f>Dezember!H1</f>
        <v>0</v>
      </c>
      <c r="O46" s="48"/>
    </row>
    <row r="47">
      <c r="B47" s="47" t="s">
        <v>8</v>
      </c>
      <c r="C47" s="22">
        <f>Januar!K1</f>
        <v>487.37</v>
      </c>
      <c r="D47" s="22">
        <f>Februar!K1</f>
        <v>220.43</v>
      </c>
      <c r="E47" s="22">
        <f>'März'!K1</f>
        <v>3003.18</v>
      </c>
      <c r="F47" s="22">
        <f>April!K1</f>
        <v>1199.26</v>
      </c>
      <c r="G47" s="22">
        <f>Mai!K1</f>
        <v>463.11</v>
      </c>
      <c r="H47" s="22">
        <f>Juni!K1</f>
        <v>2757.68</v>
      </c>
      <c r="I47" s="22">
        <f>Juli!K1</f>
        <v>1965.62</v>
      </c>
      <c r="J47" s="22">
        <f>August!K1</f>
        <v>1861.22</v>
      </c>
      <c r="K47" s="22">
        <f>September!K1</f>
        <v>1315.13</v>
      </c>
      <c r="L47" s="22">
        <f>Oktober!K1</f>
        <v>0</v>
      </c>
      <c r="M47" s="22">
        <f>November!K1</f>
        <v>0</v>
      </c>
      <c r="N47" s="22">
        <f>Dezember!K1</f>
        <v>0</v>
      </c>
      <c r="O47" s="48"/>
    </row>
    <row r="48">
      <c r="B48" s="47" t="s">
        <v>14</v>
      </c>
      <c r="C48" s="22">
        <f>Januar!N1</f>
        <v>0</v>
      </c>
      <c r="D48" s="22">
        <f>Februar!N1</f>
        <v>0</v>
      </c>
      <c r="E48" s="22">
        <f>'März'!N1</f>
        <v>0</v>
      </c>
      <c r="F48" s="22">
        <f>April!N1</f>
        <v>0</v>
      </c>
      <c r="G48" s="22">
        <f>Mai!N1</f>
        <v>0</v>
      </c>
      <c r="H48" s="22">
        <f>Juni!N1</f>
        <v>0</v>
      </c>
      <c r="I48" s="22">
        <f>Juli!N1</f>
        <v>0</v>
      </c>
      <c r="J48" s="22">
        <f>August!N1</f>
        <v>0</v>
      </c>
      <c r="K48" s="22">
        <f>September!N1</f>
        <v>0</v>
      </c>
      <c r="L48" s="22">
        <f>Oktober!N1</f>
        <v>0</v>
      </c>
      <c r="M48" s="22">
        <f>November!N1</f>
        <v>0</v>
      </c>
      <c r="N48" s="22">
        <f>Dezember!N1</f>
        <v>0</v>
      </c>
      <c r="O48" s="48"/>
    </row>
    <row r="49">
      <c r="A49" s="55"/>
      <c r="B49" s="52" t="s">
        <v>18</v>
      </c>
      <c r="C49" s="56">
        <f t="shared" ref="C49:N49" si="14">SUM(C44:C48)</f>
        <v>1047.425</v>
      </c>
      <c r="D49" s="56">
        <f t="shared" si="14"/>
        <v>1038.64</v>
      </c>
      <c r="E49" s="56">
        <f t="shared" si="14"/>
        <v>3599.31</v>
      </c>
      <c r="F49" s="56">
        <f t="shared" si="14"/>
        <v>1677.83</v>
      </c>
      <c r="G49" s="56">
        <f t="shared" si="14"/>
        <v>687.37</v>
      </c>
      <c r="H49" s="56">
        <f t="shared" si="14"/>
        <v>3088.064</v>
      </c>
      <c r="I49" s="56">
        <f t="shared" si="14"/>
        <v>2485.57</v>
      </c>
      <c r="J49" s="56">
        <f t="shared" si="14"/>
        <v>2199.42</v>
      </c>
      <c r="K49" s="56">
        <f t="shared" si="14"/>
        <v>1315.13</v>
      </c>
      <c r="L49" s="56">
        <f t="shared" si="14"/>
        <v>0</v>
      </c>
      <c r="M49" s="56">
        <f t="shared" si="14"/>
        <v>0</v>
      </c>
      <c r="N49" s="56">
        <f t="shared" si="14"/>
        <v>0</v>
      </c>
      <c r="O49" s="57">
        <f>SUM(C49:N49)</f>
        <v>17138.759</v>
      </c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1">
      <c r="A51" s="58"/>
      <c r="B51" s="59" t="s">
        <v>167</v>
      </c>
      <c r="C51" s="60">
        <f t="shared" ref="C51:O51" si="15">C53-C54</f>
        <v>888.525</v>
      </c>
      <c r="D51" s="60">
        <f t="shared" si="15"/>
        <v>-269.54</v>
      </c>
      <c r="E51" s="60">
        <f t="shared" si="15"/>
        <v>602.6</v>
      </c>
      <c r="F51" s="60">
        <f t="shared" si="15"/>
        <v>-810.79</v>
      </c>
      <c r="G51" s="60">
        <f t="shared" si="15"/>
        <v>77.22</v>
      </c>
      <c r="H51" s="60">
        <f t="shared" si="15"/>
        <v>343.176</v>
      </c>
      <c r="I51" s="60">
        <f t="shared" si="15"/>
        <v>-962.41</v>
      </c>
      <c r="J51" s="60">
        <f t="shared" si="15"/>
        <v>-368.1</v>
      </c>
      <c r="K51" s="60">
        <f t="shared" si="15"/>
        <v>2737.9</v>
      </c>
      <c r="L51" s="60">
        <f t="shared" si="15"/>
        <v>1253.25</v>
      </c>
      <c r="M51" s="60">
        <f t="shared" si="15"/>
        <v>1373.25</v>
      </c>
      <c r="N51" s="60">
        <f t="shared" si="15"/>
        <v>1292.69</v>
      </c>
      <c r="O51" s="61">
        <f t="shared" si="15"/>
        <v>6157.771</v>
      </c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>
      <c r="B52" s="62" t="s">
        <v>168</v>
      </c>
      <c r="C52" s="63">
        <f t="shared" ref="C52:N52" si="16">C51/C53</f>
        <v>0.2974530566</v>
      </c>
      <c r="D52" s="63">
        <f t="shared" si="16"/>
        <v>-0.1106081932</v>
      </c>
      <c r="E52" s="63">
        <f t="shared" si="16"/>
        <v>0.1024817732</v>
      </c>
      <c r="F52" s="63">
        <f t="shared" si="16"/>
        <v>-0.3185564985</v>
      </c>
      <c r="G52" s="63">
        <f t="shared" si="16"/>
        <v>0.0316119128</v>
      </c>
      <c r="H52" s="63">
        <f t="shared" si="16"/>
        <v>0.07802132095</v>
      </c>
      <c r="I52" s="63">
        <f t="shared" si="16"/>
        <v>-0.3864464084</v>
      </c>
      <c r="J52" s="63">
        <f t="shared" si="16"/>
        <v>-0.1308953584</v>
      </c>
      <c r="K52" s="63">
        <f t="shared" si="16"/>
        <v>0.5458866596</v>
      </c>
      <c r="L52" s="63">
        <f t="shared" si="16"/>
        <v>0.5483458834</v>
      </c>
      <c r="M52" s="63">
        <f t="shared" si="16"/>
        <v>0.600850576</v>
      </c>
      <c r="N52" s="63">
        <f t="shared" si="16"/>
        <v>0.5656024257</v>
      </c>
      <c r="O52" s="64"/>
    </row>
    <row r="53">
      <c r="B53" s="62" t="s">
        <v>22</v>
      </c>
      <c r="C53" s="65">
        <f t="shared" ref="C53:O53" si="17">C8</f>
        <v>2987.11</v>
      </c>
      <c r="D53" s="65">
        <f t="shared" si="17"/>
        <v>2436.89</v>
      </c>
      <c r="E53" s="65">
        <f t="shared" si="17"/>
        <v>5880.07</v>
      </c>
      <c r="F53" s="65">
        <f t="shared" si="17"/>
        <v>2545.2</v>
      </c>
      <c r="G53" s="65">
        <f t="shared" si="17"/>
        <v>2442.75</v>
      </c>
      <c r="H53" s="65">
        <f t="shared" si="17"/>
        <v>4398.49</v>
      </c>
      <c r="I53" s="65">
        <f t="shared" si="17"/>
        <v>2490.41</v>
      </c>
      <c r="J53" s="65">
        <f t="shared" si="17"/>
        <v>2812.17</v>
      </c>
      <c r="K53" s="65">
        <f t="shared" si="17"/>
        <v>5015.51</v>
      </c>
      <c r="L53" s="65">
        <f t="shared" si="17"/>
        <v>2285.51</v>
      </c>
      <c r="M53" s="65">
        <f t="shared" si="17"/>
        <v>2285.51</v>
      </c>
      <c r="N53" s="65">
        <f t="shared" si="17"/>
        <v>2285.51</v>
      </c>
      <c r="O53" s="66">
        <f t="shared" si="17"/>
        <v>37865.13</v>
      </c>
    </row>
    <row r="54">
      <c r="B54" s="67" t="s">
        <v>169</v>
      </c>
      <c r="C54" s="68">
        <f t="shared" ref="C54:N54" si="18">C41+C49</f>
        <v>2098.585</v>
      </c>
      <c r="D54" s="68">
        <f t="shared" si="18"/>
        <v>2706.43</v>
      </c>
      <c r="E54" s="68">
        <f t="shared" si="18"/>
        <v>5277.47</v>
      </c>
      <c r="F54" s="68">
        <f t="shared" si="18"/>
        <v>3355.99</v>
      </c>
      <c r="G54" s="68">
        <f t="shared" si="18"/>
        <v>2365.53</v>
      </c>
      <c r="H54" s="68">
        <f t="shared" si="18"/>
        <v>4055.314</v>
      </c>
      <c r="I54" s="68">
        <f t="shared" si="18"/>
        <v>3452.82</v>
      </c>
      <c r="J54" s="68">
        <f t="shared" si="18"/>
        <v>3180.27</v>
      </c>
      <c r="K54" s="68">
        <f t="shared" si="18"/>
        <v>2277.61</v>
      </c>
      <c r="L54" s="68">
        <f t="shared" si="18"/>
        <v>1032.26</v>
      </c>
      <c r="M54" s="68">
        <f t="shared" si="18"/>
        <v>912.26</v>
      </c>
      <c r="N54" s="68">
        <f t="shared" si="18"/>
        <v>992.82</v>
      </c>
      <c r="O54" s="69">
        <f>O49+O41</f>
        <v>31707.359</v>
      </c>
    </row>
    <row r="56">
      <c r="B56" s="70" t="s">
        <v>170</v>
      </c>
      <c r="C56" s="71">
        <f t="shared" ref="C56:N56" si="19">SUM(C57:C65)</f>
        <v>786.85</v>
      </c>
      <c r="D56" s="71">
        <f t="shared" si="19"/>
        <v>7218.19</v>
      </c>
      <c r="E56" s="71">
        <f t="shared" si="19"/>
        <v>4748.43</v>
      </c>
      <c r="F56" s="71">
        <f t="shared" si="19"/>
        <v>6119.09</v>
      </c>
      <c r="G56" s="71">
        <f t="shared" si="19"/>
        <v>0</v>
      </c>
      <c r="H56" s="71">
        <f t="shared" si="19"/>
        <v>0</v>
      </c>
      <c r="I56" s="71">
        <f t="shared" si="19"/>
        <v>0</v>
      </c>
      <c r="J56" s="71">
        <f t="shared" si="19"/>
        <v>6658.02</v>
      </c>
      <c r="K56" s="71">
        <f t="shared" si="19"/>
        <v>12604.08</v>
      </c>
      <c r="L56" s="71">
        <f t="shared" si="19"/>
        <v>0</v>
      </c>
      <c r="M56" s="71">
        <f t="shared" si="19"/>
        <v>0</v>
      </c>
      <c r="N56" s="71">
        <f t="shared" si="19"/>
        <v>0</v>
      </c>
      <c r="O56" s="71"/>
    </row>
    <row r="57">
      <c r="B57" s="72" t="s">
        <v>171</v>
      </c>
      <c r="C57" s="46">
        <v>136.16</v>
      </c>
      <c r="D57" s="46">
        <v>157.08</v>
      </c>
      <c r="E57" s="46">
        <v>238.84</v>
      </c>
      <c r="F57" s="46">
        <v>326.03</v>
      </c>
      <c r="J57" s="46">
        <v>405.2</v>
      </c>
      <c r="K57" s="46">
        <v>552.86</v>
      </c>
      <c r="O57" s="73"/>
    </row>
    <row r="58">
      <c r="B58" s="72" t="s">
        <v>172</v>
      </c>
      <c r="C58" s="46"/>
      <c r="D58" s="46"/>
      <c r="E58" s="46"/>
      <c r="F58" s="46"/>
      <c r="K58" s="46">
        <f>3641.98-172.86</f>
        <v>3469.12</v>
      </c>
      <c r="O58" s="73"/>
    </row>
    <row r="59">
      <c r="B59" s="72" t="s">
        <v>173</v>
      </c>
      <c r="C59" s="46"/>
      <c r="D59" s="46"/>
      <c r="E59" s="46"/>
      <c r="F59" s="46"/>
      <c r="K59" s="46">
        <v>5027.81</v>
      </c>
      <c r="O59" s="73"/>
    </row>
    <row r="60">
      <c r="B60" s="72" t="s">
        <v>174</v>
      </c>
      <c r="C60" s="46">
        <v>650.69</v>
      </c>
      <c r="D60" s="46">
        <v>7061.11</v>
      </c>
      <c r="E60" s="46">
        <v>4509.59</v>
      </c>
      <c r="F60" s="46">
        <v>5000.0</v>
      </c>
      <c r="J60" s="46">
        <v>5500.0</v>
      </c>
      <c r="K60" s="46">
        <v>1000.0</v>
      </c>
      <c r="O60" s="73"/>
    </row>
    <row r="61">
      <c r="B61" s="72" t="s">
        <v>175</v>
      </c>
      <c r="C61" s="46">
        <v>0.0</v>
      </c>
      <c r="D61" s="46">
        <v>0.0</v>
      </c>
      <c r="E61" s="46">
        <v>0.0</v>
      </c>
      <c r="F61" s="46">
        <v>494.23</v>
      </c>
      <c r="J61" s="46">
        <v>0.0</v>
      </c>
      <c r="K61" s="46">
        <v>500.0</v>
      </c>
      <c r="O61" s="73"/>
    </row>
    <row r="62">
      <c r="B62" s="72" t="s">
        <v>176</v>
      </c>
      <c r="C62" s="46">
        <v>0.0</v>
      </c>
      <c r="D62" s="46">
        <v>0.0</v>
      </c>
      <c r="E62" s="46">
        <v>0.0</v>
      </c>
      <c r="F62" s="46">
        <v>15.41</v>
      </c>
      <c r="J62" s="46">
        <v>41.44</v>
      </c>
      <c r="K62" s="46">
        <v>0.0</v>
      </c>
      <c r="O62" s="73"/>
    </row>
    <row r="63">
      <c r="B63" s="72" t="s">
        <v>177</v>
      </c>
      <c r="C63" s="46"/>
      <c r="D63" s="46"/>
      <c r="E63" s="46"/>
      <c r="F63" s="46"/>
      <c r="J63" s="46"/>
      <c r="K63" s="46">
        <v>1046.59</v>
      </c>
      <c r="O63" s="73"/>
    </row>
    <row r="64">
      <c r="B64" s="72" t="s">
        <v>178</v>
      </c>
      <c r="C64" s="46"/>
      <c r="D64" s="46"/>
      <c r="E64" s="46"/>
      <c r="F64" s="46"/>
      <c r="J64" s="46"/>
      <c r="K64" s="46">
        <v>112.55</v>
      </c>
      <c r="O64" s="73"/>
    </row>
    <row r="65">
      <c r="B65" s="74" t="s">
        <v>33</v>
      </c>
      <c r="C65" s="75">
        <v>0.0</v>
      </c>
      <c r="D65" s="75">
        <v>0.0</v>
      </c>
      <c r="E65" s="75">
        <v>0.0</v>
      </c>
      <c r="F65" s="75">
        <v>283.42</v>
      </c>
      <c r="G65" s="76"/>
      <c r="H65" s="76"/>
      <c r="I65" s="76"/>
      <c r="J65" s="75">
        <v>711.38</v>
      </c>
      <c r="K65" s="75">
        <v>895.15</v>
      </c>
      <c r="L65" s="76"/>
      <c r="M65" s="76"/>
      <c r="N65" s="76"/>
      <c r="O65" s="77"/>
    </row>
    <row r="67">
      <c r="A67" s="78"/>
      <c r="B67" s="10" t="s">
        <v>179</v>
      </c>
      <c r="C67" s="79" t="s">
        <v>180</v>
      </c>
      <c r="D67" s="79" t="s">
        <v>181</v>
      </c>
      <c r="E67" s="79"/>
      <c r="F67" s="79"/>
      <c r="G67" s="79"/>
      <c r="H67" s="79"/>
      <c r="I67" s="30"/>
      <c r="J67" s="30"/>
      <c r="K67" s="30"/>
      <c r="L67" s="30"/>
      <c r="M67" s="30"/>
      <c r="N67" s="30"/>
      <c r="O67" s="31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>
      <c r="A68" s="22"/>
      <c r="B68" s="80"/>
      <c r="C68" s="39">
        <f>(486.58/2)+18.52+200+26.3</f>
        <v>488.11</v>
      </c>
      <c r="D68" s="39">
        <f>380.5</f>
        <v>380.5</v>
      </c>
      <c r="E68" s="39"/>
      <c r="F68" s="81"/>
      <c r="G68" s="81"/>
      <c r="H68" s="81"/>
      <c r="I68" s="81"/>
      <c r="J68" s="81"/>
      <c r="K68" s="81"/>
      <c r="L68" s="81"/>
      <c r="M68" s="81"/>
      <c r="N68" s="81"/>
      <c r="O68" s="80">
        <f>SUM(C68:N68)</f>
        <v>868.61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</sheetData>
  <mergeCells count="1">
    <mergeCell ref="A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451.605</v>
      </c>
      <c r="D1" s="1" t="s">
        <v>2</v>
      </c>
      <c r="E1" s="3">
        <f>SUM(E3:E62)</f>
        <v>108.45</v>
      </c>
      <c r="G1" s="1" t="s">
        <v>4</v>
      </c>
      <c r="H1" s="3">
        <f>SUM(H3:H62)</f>
        <v>0</v>
      </c>
      <c r="J1" s="1" t="s">
        <v>8</v>
      </c>
      <c r="K1" s="3">
        <f>SUM(K3:K62)</f>
        <v>487.37</v>
      </c>
      <c r="M1" s="1" t="s">
        <v>14</v>
      </c>
      <c r="N1" s="3">
        <f>SUM(N3:N62)</f>
        <v>0</v>
      </c>
    </row>
    <row r="2">
      <c r="A2" s="7" t="s">
        <v>20</v>
      </c>
      <c r="B2" s="8" t="s">
        <v>21</v>
      </c>
      <c r="D2" s="7" t="s">
        <v>20</v>
      </c>
      <c r="E2" s="8" t="s">
        <v>21</v>
      </c>
      <c r="G2" s="7" t="s">
        <v>20</v>
      </c>
      <c r="H2" s="8" t="s">
        <v>21</v>
      </c>
      <c r="J2" s="7" t="s">
        <v>20</v>
      </c>
      <c r="K2" s="8" t="s">
        <v>21</v>
      </c>
      <c r="M2" s="7" t="s">
        <v>20</v>
      </c>
      <c r="N2" s="8" t="s">
        <v>21</v>
      </c>
    </row>
    <row r="3">
      <c r="A3" s="11" t="s">
        <v>23</v>
      </c>
      <c r="B3" s="12">
        <v>12.54</v>
      </c>
      <c r="D3" s="11" t="s">
        <v>24</v>
      </c>
      <c r="E3" s="12">
        <v>37.65</v>
      </c>
      <c r="G3" s="14"/>
      <c r="H3" s="15"/>
      <c r="J3" s="11"/>
      <c r="K3" s="12"/>
      <c r="M3" s="11"/>
      <c r="N3" s="16"/>
    </row>
    <row r="4">
      <c r="A4" s="11" t="s">
        <v>25</v>
      </c>
      <c r="B4" s="12">
        <v>20.74</v>
      </c>
      <c r="D4" s="11" t="s">
        <v>24</v>
      </c>
      <c r="E4" s="12">
        <v>69.6</v>
      </c>
      <c r="G4" s="14"/>
      <c r="H4" s="15"/>
      <c r="J4" s="11" t="s">
        <v>26</v>
      </c>
      <c r="K4" s="12">
        <v>50.0</v>
      </c>
      <c r="M4" s="14"/>
      <c r="N4" s="15"/>
    </row>
    <row r="5">
      <c r="A5" s="11" t="s">
        <v>23</v>
      </c>
      <c r="B5" s="12">
        <v>5.4</v>
      </c>
      <c r="D5" s="11" t="s">
        <v>28</v>
      </c>
      <c r="E5" s="12">
        <v>1.2</v>
      </c>
      <c r="G5" s="14"/>
      <c r="H5" s="15"/>
      <c r="J5" s="11" t="s">
        <v>29</v>
      </c>
      <c r="K5" s="12">
        <v>4.5</v>
      </c>
      <c r="M5" s="14"/>
      <c r="N5" s="15"/>
    </row>
    <row r="6">
      <c r="A6" s="11" t="s">
        <v>30</v>
      </c>
      <c r="B6" s="12">
        <v>3.15</v>
      </c>
      <c r="D6" s="11"/>
      <c r="E6" s="12"/>
      <c r="G6" s="14"/>
      <c r="H6" s="15"/>
      <c r="J6" s="11" t="s">
        <v>31</v>
      </c>
      <c r="K6" s="12">
        <v>10.95</v>
      </c>
      <c r="M6" s="14"/>
      <c r="N6" s="15"/>
    </row>
    <row r="7">
      <c r="A7" s="11" t="s">
        <v>32</v>
      </c>
      <c r="B7" s="12">
        <f>90.19/2</f>
        <v>45.095</v>
      </c>
      <c r="D7" s="14"/>
      <c r="E7" s="23"/>
      <c r="G7" s="14"/>
      <c r="H7" s="15"/>
      <c r="J7" s="11" t="s">
        <v>35</v>
      </c>
      <c r="K7" s="12">
        <v>20.0</v>
      </c>
      <c r="M7" s="14"/>
      <c r="N7" s="15"/>
    </row>
    <row r="8">
      <c r="A8" s="11" t="s">
        <v>32</v>
      </c>
      <c r="B8" s="12">
        <v>5.36</v>
      </c>
      <c r="D8" s="14"/>
      <c r="E8" s="23"/>
      <c r="G8" s="14"/>
      <c r="H8" s="15"/>
      <c r="J8" s="11" t="s">
        <v>42</v>
      </c>
      <c r="K8" s="12">
        <v>92.5</v>
      </c>
      <c r="M8" s="14"/>
      <c r="N8" s="15"/>
    </row>
    <row r="9">
      <c r="A9" s="11" t="s">
        <v>43</v>
      </c>
      <c r="B9" s="12">
        <v>1.5</v>
      </c>
      <c r="D9" s="14"/>
      <c r="E9" s="23"/>
      <c r="G9" s="14"/>
      <c r="H9" s="15"/>
      <c r="J9" s="11" t="s">
        <v>45</v>
      </c>
      <c r="K9" s="12">
        <v>9.7</v>
      </c>
      <c r="M9" s="14"/>
      <c r="N9" s="15"/>
    </row>
    <row r="10">
      <c r="A10" s="11" t="s">
        <v>46</v>
      </c>
      <c r="B10" s="12">
        <f>36.2/2</f>
        <v>18.1</v>
      </c>
      <c r="D10" s="14"/>
      <c r="E10" s="23"/>
      <c r="G10" s="14"/>
      <c r="H10" s="15"/>
      <c r="J10" s="11" t="s">
        <v>51</v>
      </c>
      <c r="K10" s="12">
        <v>60.0</v>
      </c>
      <c r="M10" s="14"/>
      <c r="N10" s="15"/>
    </row>
    <row r="11">
      <c r="A11" s="11" t="s">
        <v>53</v>
      </c>
      <c r="B11" s="12">
        <f>54.5/2</f>
        <v>27.25</v>
      </c>
      <c r="D11" s="14"/>
      <c r="E11" s="23"/>
      <c r="G11" s="14"/>
      <c r="H11" s="15"/>
      <c r="J11" s="11" t="s">
        <v>57</v>
      </c>
      <c r="K11" s="12">
        <v>239.72</v>
      </c>
      <c r="M11" s="14"/>
      <c r="N11" s="15"/>
    </row>
    <row r="12">
      <c r="A12" s="11" t="s">
        <v>59</v>
      </c>
      <c r="B12" s="12">
        <f>34.62</f>
        <v>34.62</v>
      </c>
      <c r="D12" s="14"/>
      <c r="E12" s="23"/>
      <c r="G12" s="14"/>
      <c r="H12" s="15"/>
      <c r="J12" s="11"/>
      <c r="K12" s="12"/>
      <c r="M12" s="14"/>
      <c r="N12" s="15"/>
    </row>
    <row r="13">
      <c r="A13" s="11" t="s">
        <v>60</v>
      </c>
      <c r="B13" s="12">
        <f>10.49/2</f>
        <v>5.245</v>
      </c>
      <c r="D13" s="14"/>
      <c r="E13" s="23"/>
      <c r="G13" s="14"/>
      <c r="H13" s="15"/>
      <c r="J13" s="11"/>
      <c r="K13" s="12"/>
      <c r="M13" s="14"/>
      <c r="N13" s="15"/>
    </row>
    <row r="14">
      <c r="A14" s="11" t="s">
        <v>63</v>
      </c>
      <c r="B14" s="12">
        <v>3.5</v>
      </c>
      <c r="D14" s="14"/>
      <c r="E14" s="23"/>
      <c r="G14" s="14"/>
      <c r="H14" s="15"/>
      <c r="J14" s="11"/>
      <c r="K14" s="12"/>
      <c r="M14" s="14"/>
      <c r="N14" s="15"/>
    </row>
    <row r="15">
      <c r="A15" s="11" t="s">
        <v>23</v>
      </c>
      <c r="B15" s="12">
        <v>9.7</v>
      </c>
      <c r="D15" s="14"/>
      <c r="E15" s="23"/>
      <c r="G15" s="14"/>
      <c r="H15" s="15"/>
      <c r="J15" s="11"/>
      <c r="K15" s="12"/>
      <c r="M15" s="14"/>
      <c r="N15" s="15"/>
    </row>
    <row r="16">
      <c r="A16" s="11" t="s">
        <v>67</v>
      </c>
      <c r="B16" s="12">
        <v>5.58</v>
      </c>
      <c r="D16" s="14"/>
      <c r="E16" s="23"/>
      <c r="G16" s="14"/>
      <c r="H16" s="15"/>
      <c r="J16" s="11"/>
      <c r="K16" s="12"/>
      <c r="M16" s="14"/>
      <c r="N16" s="15"/>
    </row>
    <row r="17">
      <c r="A17" s="11" t="s">
        <v>67</v>
      </c>
      <c r="B17" s="12">
        <v>11.89</v>
      </c>
      <c r="D17" s="14"/>
      <c r="E17" s="23"/>
      <c r="G17" s="14"/>
      <c r="H17" s="15"/>
      <c r="J17" s="11"/>
      <c r="K17" s="12"/>
      <c r="M17" s="14"/>
      <c r="N17" s="15"/>
    </row>
    <row r="18">
      <c r="A18" s="11" t="s">
        <v>32</v>
      </c>
      <c r="B18" s="12">
        <f>54.37</f>
        <v>54.37</v>
      </c>
      <c r="D18" s="14"/>
      <c r="E18" s="23"/>
      <c r="G18" s="14"/>
      <c r="H18" s="15"/>
      <c r="J18" s="11"/>
      <c r="K18" s="12"/>
      <c r="M18" s="14"/>
      <c r="N18" s="15"/>
    </row>
    <row r="19">
      <c r="A19" s="11" t="s">
        <v>23</v>
      </c>
      <c r="B19" s="12">
        <v>23.87</v>
      </c>
      <c r="D19" s="14"/>
      <c r="E19" s="23"/>
      <c r="G19" s="14"/>
      <c r="H19" s="15"/>
      <c r="J19" s="11"/>
      <c r="K19" s="12"/>
      <c r="M19" s="14"/>
      <c r="N19" s="15"/>
    </row>
    <row r="20">
      <c r="A20" s="11" t="s">
        <v>32</v>
      </c>
      <c r="B20" s="12">
        <f>80.81/2</f>
        <v>40.405</v>
      </c>
      <c r="D20" s="14"/>
      <c r="E20" s="23"/>
      <c r="G20" s="14"/>
      <c r="H20" s="15"/>
      <c r="J20" s="11"/>
      <c r="K20" s="12"/>
      <c r="M20" s="14"/>
      <c r="N20" s="15"/>
    </row>
    <row r="21">
      <c r="A21" s="11" t="s">
        <v>30</v>
      </c>
      <c r="B21" s="12">
        <v>5.58</v>
      </c>
      <c r="D21" s="14"/>
      <c r="E21" s="23"/>
      <c r="G21" s="14"/>
      <c r="H21" s="15"/>
      <c r="J21" s="11"/>
      <c r="K21" s="12"/>
      <c r="M21" s="14"/>
      <c r="N21" s="15"/>
    </row>
    <row r="22">
      <c r="A22" s="11" t="s">
        <v>23</v>
      </c>
      <c r="B22" s="12">
        <v>4.18</v>
      </c>
      <c r="D22" s="14"/>
      <c r="E22" s="23"/>
      <c r="G22" s="14"/>
      <c r="H22" s="15"/>
      <c r="J22" s="11"/>
      <c r="K22" s="12"/>
      <c r="M22" s="14"/>
      <c r="N22" s="15"/>
    </row>
    <row r="23">
      <c r="A23" s="11" t="s">
        <v>32</v>
      </c>
      <c r="B23" s="12">
        <v>6.57</v>
      </c>
      <c r="D23" s="14"/>
      <c r="E23" s="23"/>
      <c r="G23" s="14"/>
      <c r="H23" s="15"/>
      <c r="J23" s="11"/>
      <c r="K23" s="12"/>
      <c r="M23" s="14"/>
      <c r="N23" s="15"/>
    </row>
    <row r="24">
      <c r="A24" s="11" t="s">
        <v>23</v>
      </c>
      <c r="B24" s="12">
        <v>4.11</v>
      </c>
      <c r="D24" s="14"/>
      <c r="E24" s="23"/>
      <c r="G24" s="14"/>
      <c r="H24" s="15"/>
      <c r="J24" s="11"/>
      <c r="K24" s="12"/>
      <c r="M24" s="14"/>
      <c r="N24" s="15"/>
    </row>
    <row r="25">
      <c r="A25" s="11" t="s">
        <v>79</v>
      </c>
      <c r="B25" s="12">
        <v>1.0</v>
      </c>
      <c r="D25" s="14"/>
      <c r="E25" s="23"/>
      <c r="G25" s="14"/>
      <c r="H25" s="15"/>
      <c r="J25" s="11"/>
      <c r="K25" s="12"/>
      <c r="M25" s="14"/>
      <c r="N25" s="15"/>
    </row>
    <row r="26">
      <c r="A26" s="11" t="s">
        <v>23</v>
      </c>
      <c r="B26" s="12">
        <v>10.19</v>
      </c>
      <c r="D26" s="14"/>
      <c r="E26" s="23"/>
      <c r="G26" s="14"/>
      <c r="H26" s="15"/>
      <c r="J26" s="11"/>
      <c r="K26" s="12"/>
      <c r="M26" s="14"/>
      <c r="N26" s="15"/>
    </row>
    <row r="27">
      <c r="A27" s="11" t="s">
        <v>23</v>
      </c>
      <c r="B27" s="12">
        <v>21.48</v>
      </c>
      <c r="D27" s="14"/>
      <c r="E27" s="23"/>
      <c r="G27" s="14"/>
      <c r="H27" s="15"/>
      <c r="J27" s="11"/>
      <c r="K27" s="12"/>
      <c r="M27" s="14"/>
      <c r="N27" s="15"/>
    </row>
    <row r="28">
      <c r="A28" s="11" t="s">
        <v>32</v>
      </c>
      <c r="B28" s="23">
        <f>81.58/2</f>
        <v>40.79</v>
      </c>
      <c r="D28" s="14"/>
      <c r="E28" s="23"/>
      <c r="G28" s="14"/>
      <c r="H28" s="15"/>
      <c r="J28" s="14"/>
      <c r="K28" s="12"/>
      <c r="M28" s="14"/>
      <c r="N28" s="15"/>
    </row>
    <row r="29">
      <c r="A29" s="11" t="s">
        <v>23</v>
      </c>
      <c r="B29" s="12">
        <v>4.0</v>
      </c>
      <c r="D29" s="14"/>
      <c r="E29" s="23"/>
      <c r="G29" s="14"/>
      <c r="H29" s="15"/>
      <c r="J29" s="14"/>
      <c r="K29" s="12"/>
      <c r="M29" s="14"/>
      <c r="N29" s="15"/>
    </row>
    <row r="30">
      <c r="A30" s="11" t="s">
        <v>23</v>
      </c>
      <c r="B30" s="12">
        <v>3.98</v>
      </c>
      <c r="D30" s="14"/>
      <c r="E30" s="23"/>
      <c r="G30" s="14"/>
      <c r="H30" s="15"/>
      <c r="J30" s="11"/>
      <c r="K30" s="12"/>
      <c r="M30" s="14"/>
      <c r="N30" s="15"/>
    </row>
    <row r="31">
      <c r="A31" s="11" t="s">
        <v>23</v>
      </c>
      <c r="B31" s="12">
        <v>13.67</v>
      </c>
      <c r="D31" s="14"/>
      <c r="E31" s="23"/>
      <c r="G31" s="14"/>
      <c r="H31" s="15"/>
      <c r="J31" s="11"/>
      <c r="K31" s="12"/>
      <c r="M31" s="14"/>
      <c r="N31" s="15"/>
    </row>
    <row r="32">
      <c r="A32" s="11" t="s">
        <v>55</v>
      </c>
      <c r="B32" s="12">
        <v>7.74</v>
      </c>
      <c r="D32" s="14"/>
      <c r="E32" s="23"/>
      <c r="G32" s="14"/>
      <c r="H32" s="15"/>
      <c r="J32" s="11"/>
      <c r="K32" s="12"/>
      <c r="M32" s="14"/>
      <c r="N32" s="15"/>
    </row>
    <row r="33">
      <c r="A33" s="14"/>
      <c r="B33" s="23"/>
      <c r="D33" s="14"/>
      <c r="E33" s="23"/>
      <c r="G33" s="14"/>
      <c r="H33" s="15"/>
      <c r="J33" s="11"/>
      <c r="K33" s="12"/>
      <c r="M33" s="14"/>
      <c r="N33" s="15"/>
    </row>
    <row r="34">
      <c r="A34" s="14"/>
      <c r="B34" s="23"/>
      <c r="D34" s="14"/>
      <c r="E34" s="23"/>
      <c r="G34" s="14"/>
      <c r="H34" s="15"/>
      <c r="J34" s="11"/>
      <c r="K34" s="12"/>
      <c r="M34" s="14"/>
      <c r="N34" s="15"/>
    </row>
    <row r="35">
      <c r="A35" s="14"/>
      <c r="B35" s="23"/>
      <c r="D35" s="14"/>
      <c r="E35" s="23"/>
      <c r="G35" s="14"/>
      <c r="H35" s="15"/>
      <c r="J35" s="11"/>
      <c r="K35" s="12"/>
      <c r="M35" s="14"/>
      <c r="N35" s="15"/>
    </row>
    <row r="36">
      <c r="A36" s="14"/>
      <c r="B36" s="23"/>
      <c r="D36" s="14"/>
      <c r="E36" s="23"/>
      <c r="G36" s="14"/>
      <c r="H36" s="15"/>
      <c r="J36" s="14"/>
      <c r="K36" s="23"/>
      <c r="M36" s="14"/>
      <c r="N36" s="15"/>
    </row>
    <row r="37">
      <c r="A37" s="14"/>
      <c r="B37" s="23"/>
      <c r="D37" s="14"/>
      <c r="E37" s="23"/>
      <c r="G37" s="14"/>
      <c r="H37" s="15"/>
      <c r="J37" s="14"/>
      <c r="K37" s="23"/>
      <c r="M37" s="14"/>
      <c r="N37" s="15"/>
    </row>
    <row r="38">
      <c r="A38" s="14"/>
      <c r="B38" s="23"/>
      <c r="D38" s="14"/>
      <c r="E38" s="23"/>
      <c r="G38" s="14"/>
      <c r="H38" s="15"/>
      <c r="J38" s="14"/>
      <c r="K38" s="23"/>
      <c r="M38" s="14"/>
      <c r="N38" s="15"/>
    </row>
    <row r="39">
      <c r="A39" s="14"/>
      <c r="B39" s="23"/>
      <c r="D39" s="14"/>
      <c r="E39" s="23"/>
      <c r="G39" s="14"/>
      <c r="H39" s="15"/>
      <c r="J39" s="14"/>
      <c r="K39" s="23"/>
      <c r="M39" s="14"/>
      <c r="N39" s="15"/>
    </row>
    <row r="40">
      <c r="A40" s="14"/>
      <c r="B40" s="23"/>
      <c r="D40" s="14"/>
      <c r="E40" s="23"/>
      <c r="G40" s="14"/>
      <c r="H40" s="15"/>
      <c r="J40" s="14"/>
      <c r="K40" s="23"/>
      <c r="M40" s="14"/>
      <c r="N40" s="15"/>
    </row>
    <row r="41">
      <c r="A41" s="14"/>
      <c r="B41" s="23"/>
      <c r="D41" s="14"/>
      <c r="E41" s="23"/>
      <c r="G41" s="14"/>
      <c r="H41" s="15"/>
      <c r="J41" s="14"/>
      <c r="K41" s="23"/>
      <c r="M41" s="14"/>
      <c r="N41" s="15"/>
    </row>
    <row r="42">
      <c r="A42" s="14"/>
      <c r="B42" s="23"/>
      <c r="D42" s="14"/>
      <c r="E42" s="23"/>
      <c r="G42" s="14"/>
      <c r="H42" s="15"/>
      <c r="J42" s="14"/>
      <c r="K42" s="23"/>
      <c r="M42" s="14"/>
      <c r="N42" s="15"/>
    </row>
    <row r="43">
      <c r="A43" s="14"/>
      <c r="B43" s="23"/>
      <c r="D43" s="14"/>
      <c r="E43" s="23"/>
      <c r="G43" s="14"/>
      <c r="H43" s="15"/>
      <c r="J43" s="14"/>
      <c r="K43" s="23"/>
      <c r="M43" s="14"/>
      <c r="N43" s="15"/>
    </row>
    <row r="44">
      <c r="A44" s="14"/>
      <c r="B44" s="23"/>
      <c r="D44" s="14"/>
      <c r="E44" s="23"/>
      <c r="G44" s="14"/>
      <c r="H44" s="15"/>
      <c r="J44" s="14"/>
      <c r="K44" s="23"/>
      <c r="M44" s="14"/>
      <c r="N44" s="15"/>
    </row>
    <row r="45">
      <c r="A45" s="14"/>
      <c r="B45" s="23"/>
      <c r="D45" s="14"/>
      <c r="E45" s="23"/>
      <c r="G45" s="14"/>
      <c r="H45" s="15"/>
      <c r="J45" s="14"/>
      <c r="K45" s="23"/>
      <c r="M45" s="14"/>
      <c r="N45" s="15"/>
    </row>
    <row r="46">
      <c r="A46" s="14"/>
      <c r="B46" s="23"/>
      <c r="D46" s="14"/>
      <c r="E46" s="23"/>
      <c r="G46" s="14"/>
      <c r="H46" s="15"/>
      <c r="J46" s="14"/>
      <c r="K46" s="23"/>
      <c r="M46" s="14"/>
      <c r="N46" s="15"/>
    </row>
    <row r="47">
      <c r="A47" s="14"/>
      <c r="B47" s="23"/>
      <c r="D47" s="14"/>
      <c r="E47" s="23"/>
      <c r="G47" s="14"/>
      <c r="H47" s="15"/>
      <c r="J47" s="14"/>
      <c r="K47" s="23"/>
      <c r="M47" s="14"/>
      <c r="N47" s="15"/>
    </row>
    <row r="48">
      <c r="A48" s="14"/>
      <c r="B48" s="23"/>
      <c r="D48" s="14"/>
      <c r="E48" s="23"/>
      <c r="G48" s="14"/>
      <c r="H48" s="15"/>
      <c r="J48" s="14"/>
      <c r="K48" s="23"/>
      <c r="M48" s="14"/>
      <c r="N48" s="15"/>
    </row>
    <row r="49">
      <c r="A49" s="14"/>
      <c r="B49" s="23"/>
      <c r="D49" s="14"/>
      <c r="E49" s="23"/>
      <c r="G49" s="14"/>
      <c r="H49" s="15"/>
      <c r="J49" s="14"/>
      <c r="K49" s="23"/>
      <c r="M49" s="14"/>
      <c r="N49" s="15"/>
    </row>
    <row r="50">
      <c r="A50" s="14"/>
      <c r="B50" s="23"/>
      <c r="D50" s="14"/>
      <c r="E50" s="23"/>
      <c r="G50" s="14"/>
      <c r="H50" s="15"/>
      <c r="J50" s="14"/>
      <c r="K50" s="23"/>
      <c r="M50" s="14"/>
      <c r="N50" s="15"/>
    </row>
    <row r="51">
      <c r="A51" s="14"/>
      <c r="B51" s="23"/>
      <c r="D51" s="14"/>
      <c r="E51" s="23"/>
      <c r="G51" s="14"/>
      <c r="H51" s="15"/>
      <c r="J51" s="14"/>
      <c r="K51" s="23"/>
      <c r="M51" s="14"/>
      <c r="N51" s="15"/>
    </row>
    <row r="52">
      <c r="A52" s="14"/>
      <c r="B52" s="23"/>
      <c r="D52" s="14"/>
      <c r="E52" s="23"/>
      <c r="G52" s="14"/>
      <c r="H52" s="15"/>
      <c r="J52" s="14"/>
      <c r="K52" s="23"/>
      <c r="M52" s="14"/>
      <c r="N52" s="15"/>
    </row>
    <row r="53">
      <c r="A53" s="14"/>
      <c r="B53" s="23"/>
      <c r="D53" s="14"/>
      <c r="E53" s="23"/>
      <c r="G53" s="14"/>
      <c r="H53" s="15"/>
      <c r="J53" s="14"/>
      <c r="K53" s="23"/>
      <c r="M53" s="14"/>
      <c r="N53" s="15"/>
    </row>
    <row r="54">
      <c r="A54" s="14"/>
      <c r="B54" s="23"/>
      <c r="D54" s="14"/>
      <c r="E54" s="23"/>
      <c r="G54" s="14"/>
      <c r="H54" s="15"/>
      <c r="J54" s="14"/>
      <c r="K54" s="23"/>
      <c r="M54" s="14"/>
      <c r="N54" s="15"/>
    </row>
    <row r="55">
      <c r="A55" s="14"/>
      <c r="B55" s="23"/>
      <c r="D55" s="14"/>
      <c r="E55" s="23"/>
      <c r="G55" s="14"/>
      <c r="H55" s="15"/>
      <c r="J55" s="14"/>
      <c r="K55" s="23"/>
      <c r="M55" s="14"/>
      <c r="N55" s="15"/>
    </row>
    <row r="56">
      <c r="A56" s="14"/>
      <c r="B56" s="23"/>
      <c r="D56" s="14"/>
      <c r="E56" s="23"/>
      <c r="G56" s="14"/>
      <c r="H56" s="15"/>
      <c r="J56" s="14"/>
      <c r="K56" s="23"/>
      <c r="M56" s="14"/>
      <c r="N56" s="15"/>
    </row>
    <row r="57">
      <c r="A57" s="14"/>
      <c r="B57" s="23"/>
      <c r="D57" s="14"/>
      <c r="E57" s="23"/>
      <c r="G57" s="14"/>
      <c r="H57" s="15"/>
      <c r="J57" s="14"/>
      <c r="K57" s="23"/>
      <c r="M57" s="14"/>
      <c r="N57" s="15"/>
    </row>
    <row r="58">
      <c r="A58" s="14"/>
      <c r="B58" s="23"/>
      <c r="D58" s="14"/>
      <c r="E58" s="23"/>
      <c r="G58" s="14"/>
      <c r="H58" s="15"/>
      <c r="J58" s="14"/>
      <c r="K58" s="23"/>
      <c r="M58" s="14"/>
      <c r="N58" s="15"/>
    </row>
    <row r="59">
      <c r="A59" s="14"/>
      <c r="B59" s="23"/>
      <c r="D59" s="14"/>
      <c r="E59" s="23"/>
      <c r="G59" s="14"/>
      <c r="H59" s="15"/>
      <c r="J59" s="14"/>
      <c r="K59" s="23"/>
      <c r="M59" s="14"/>
      <c r="N59" s="15"/>
    </row>
    <row r="60">
      <c r="A60" s="14"/>
      <c r="B60" s="23"/>
      <c r="D60" s="14"/>
      <c r="E60" s="23"/>
      <c r="G60" s="14"/>
      <c r="H60" s="15"/>
      <c r="J60" s="14"/>
      <c r="K60" s="23"/>
      <c r="M60" s="14"/>
      <c r="N60" s="15"/>
    </row>
    <row r="61">
      <c r="A61" s="14"/>
      <c r="B61" s="23"/>
      <c r="D61" s="14"/>
      <c r="E61" s="23"/>
      <c r="G61" s="14"/>
      <c r="H61" s="15"/>
      <c r="J61" s="14"/>
      <c r="K61" s="23"/>
      <c r="M61" s="14"/>
      <c r="N61" s="15"/>
    </row>
    <row r="62">
      <c r="A62" s="33"/>
      <c r="B62" s="34"/>
      <c r="D62" s="33"/>
      <c r="E62" s="34"/>
      <c r="G62" s="33"/>
      <c r="H62" s="35"/>
      <c r="J62" s="33"/>
      <c r="K62" s="35"/>
      <c r="M62" s="33"/>
      <c r="N62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617.26</v>
      </c>
      <c r="D1" s="1" t="s">
        <v>2</v>
      </c>
      <c r="E1" s="3">
        <f>SUM(E3:E62)</f>
        <v>200.95</v>
      </c>
      <c r="G1" s="1" t="s">
        <v>4</v>
      </c>
      <c r="H1" s="3">
        <f>SUM(H3:H62)</f>
        <v>0</v>
      </c>
      <c r="J1" s="1" t="s">
        <v>8</v>
      </c>
      <c r="K1" s="3">
        <f>SUM(K3:K62)</f>
        <v>220.43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20" t="s">
        <v>21</v>
      </c>
      <c r="G2" s="7" t="s">
        <v>20</v>
      </c>
      <c r="H2" s="8" t="s">
        <v>21</v>
      </c>
      <c r="J2" s="7" t="s">
        <v>20</v>
      </c>
      <c r="K2" s="8" t="s">
        <v>21</v>
      </c>
      <c r="M2" s="7" t="s">
        <v>20</v>
      </c>
      <c r="N2" s="8" t="s">
        <v>21</v>
      </c>
    </row>
    <row r="3">
      <c r="A3" s="11" t="s">
        <v>32</v>
      </c>
      <c r="B3" s="12">
        <f>81.57 /2</f>
        <v>40.785</v>
      </c>
      <c r="D3" s="11" t="s">
        <v>28</v>
      </c>
      <c r="E3" s="12">
        <v>1.2</v>
      </c>
      <c r="G3" s="11"/>
      <c r="H3" s="16"/>
      <c r="J3" s="11" t="s">
        <v>26</v>
      </c>
      <c r="K3" s="16">
        <v>50.0</v>
      </c>
      <c r="M3" s="11"/>
      <c r="N3" s="16"/>
    </row>
    <row r="4">
      <c r="A4" s="11" t="s">
        <v>23</v>
      </c>
      <c r="B4" s="12">
        <v>3.98</v>
      </c>
      <c r="D4" s="11" t="s">
        <v>24</v>
      </c>
      <c r="E4" s="12">
        <v>67.26</v>
      </c>
      <c r="G4" s="11"/>
      <c r="H4" s="16"/>
      <c r="J4" s="11" t="s">
        <v>34</v>
      </c>
      <c r="K4" s="16">
        <v>60.0</v>
      </c>
      <c r="M4" s="11"/>
      <c r="N4" s="16"/>
    </row>
    <row r="5">
      <c r="A5" s="11" t="s">
        <v>30</v>
      </c>
      <c r="B5" s="12">
        <v>5.58</v>
      </c>
      <c r="D5" s="11" t="s">
        <v>24</v>
      </c>
      <c r="E5" s="12">
        <v>59.95</v>
      </c>
      <c r="G5" s="14"/>
      <c r="H5" s="15"/>
      <c r="J5" s="11" t="s">
        <v>37</v>
      </c>
      <c r="K5" s="16">
        <v>12.95</v>
      </c>
      <c r="M5" s="14"/>
      <c r="N5" s="15"/>
    </row>
    <row r="6">
      <c r="A6" s="11" t="s">
        <v>23</v>
      </c>
      <c r="B6" s="12">
        <v>4.0</v>
      </c>
      <c r="D6" s="11" t="s">
        <v>38</v>
      </c>
      <c r="E6" s="12">
        <v>14.0</v>
      </c>
      <c r="G6" s="14"/>
      <c r="H6" s="15"/>
      <c r="J6" s="11" t="s">
        <v>39</v>
      </c>
      <c r="K6" s="16">
        <v>20.0</v>
      </c>
      <c r="M6" s="14"/>
      <c r="N6" s="15"/>
    </row>
    <row r="7">
      <c r="A7" s="11" t="s">
        <v>40</v>
      </c>
      <c r="B7" s="12">
        <v>1.0</v>
      </c>
      <c r="D7" s="11" t="s">
        <v>24</v>
      </c>
      <c r="E7" s="12">
        <v>58.54</v>
      </c>
      <c r="G7" s="14"/>
      <c r="H7" s="15"/>
      <c r="J7" s="11" t="s">
        <v>41</v>
      </c>
      <c r="K7" s="16">
        <v>12.0</v>
      </c>
      <c r="M7" s="14"/>
      <c r="N7" s="15"/>
    </row>
    <row r="8">
      <c r="A8" s="11" t="s">
        <v>23</v>
      </c>
      <c r="B8" s="12">
        <v>21.48</v>
      </c>
      <c r="D8" s="14"/>
      <c r="E8" s="23"/>
      <c r="G8" s="14"/>
      <c r="H8" s="15"/>
      <c r="J8" s="11" t="s">
        <v>44</v>
      </c>
      <c r="K8" s="16">
        <v>4.0</v>
      </c>
      <c r="M8" s="14"/>
      <c r="N8" s="15"/>
    </row>
    <row r="9">
      <c r="A9" s="11" t="s">
        <v>23</v>
      </c>
      <c r="B9" s="12">
        <v>10.19</v>
      </c>
      <c r="D9" s="14"/>
      <c r="E9" s="23"/>
      <c r="G9" s="14"/>
      <c r="H9" s="15"/>
      <c r="J9" s="11" t="s">
        <v>44</v>
      </c>
      <c r="K9" s="16">
        <v>4.0</v>
      </c>
      <c r="M9" s="14"/>
      <c r="N9" s="15"/>
    </row>
    <row r="10">
      <c r="A10" s="11" t="s">
        <v>32</v>
      </c>
      <c r="B10" s="12">
        <v>6.57</v>
      </c>
      <c r="D10" s="14"/>
      <c r="E10" s="23"/>
      <c r="G10" s="14"/>
      <c r="H10" s="15"/>
      <c r="J10" s="11" t="s">
        <v>47</v>
      </c>
      <c r="K10" s="16">
        <v>4.99</v>
      </c>
      <c r="M10" s="14"/>
      <c r="N10" s="15"/>
    </row>
    <row r="11">
      <c r="A11" s="11" t="s">
        <v>23</v>
      </c>
      <c r="B11" s="12">
        <v>4.11</v>
      </c>
      <c r="D11" s="14"/>
      <c r="E11" s="23"/>
      <c r="G11" s="14"/>
      <c r="H11" s="15"/>
      <c r="J11" s="11" t="s">
        <v>48</v>
      </c>
      <c r="K11" s="16">
        <v>5.5</v>
      </c>
      <c r="M11" s="14"/>
      <c r="N11" s="15"/>
    </row>
    <row r="12">
      <c r="A12" s="11" t="s">
        <v>23</v>
      </c>
      <c r="B12" s="12">
        <v>4.18</v>
      </c>
      <c r="D12" s="14"/>
      <c r="E12" s="23"/>
      <c r="G12" s="14"/>
      <c r="H12" s="15"/>
      <c r="J12" s="11" t="s">
        <v>49</v>
      </c>
      <c r="K12" s="16">
        <v>24.91</v>
      </c>
      <c r="M12" s="14"/>
      <c r="N12" s="15"/>
    </row>
    <row r="13">
      <c r="A13" s="11" t="s">
        <v>50</v>
      </c>
      <c r="B13" s="12">
        <v>11.0</v>
      </c>
      <c r="D13" s="14"/>
      <c r="E13" s="23"/>
      <c r="G13" s="14"/>
      <c r="H13" s="15"/>
      <c r="J13" s="11" t="s">
        <v>52</v>
      </c>
      <c r="K13" s="16">
        <v>10.99</v>
      </c>
      <c r="M13" s="14"/>
      <c r="N13" s="15"/>
    </row>
    <row r="14">
      <c r="A14" s="11" t="s">
        <v>32</v>
      </c>
      <c r="B14" s="12">
        <v>16.63</v>
      </c>
      <c r="D14" s="14"/>
      <c r="E14" s="23"/>
      <c r="G14" s="14"/>
      <c r="H14" s="15"/>
      <c r="J14" s="11" t="s">
        <v>54</v>
      </c>
      <c r="K14" s="16">
        <v>4.19</v>
      </c>
      <c r="M14" s="14"/>
      <c r="N14" s="15"/>
    </row>
    <row r="15">
      <c r="A15" s="11" t="s">
        <v>55</v>
      </c>
      <c r="B15" s="12">
        <v>4.83</v>
      </c>
      <c r="D15" s="14"/>
      <c r="E15" s="23"/>
      <c r="G15" s="14"/>
      <c r="H15" s="15"/>
      <c r="J15" s="11" t="s">
        <v>56</v>
      </c>
      <c r="K15" s="16">
        <v>4.5</v>
      </c>
      <c r="M15" s="14"/>
      <c r="N15" s="15"/>
    </row>
    <row r="16">
      <c r="A16" s="11" t="s">
        <v>32</v>
      </c>
      <c r="B16" s="12">
        <f>91.92/2</f>
        <v>45.96</v>
      </c>
      <c r="D16" s="14"/>
      <c r="E16" s="23"/>
      <c r="G16" s="14"/>
      <c r="H16" s="15"/>
      <c r="J16" s="11" t="s">
        <v>61</v>
      </c>
      <c r="K16" s="16">
        <v>2.4</v>
      </c>
      <c r="M16" s="14"/>
      <c r="N16" s="15"/>
    </row>
    <row r="17">
      <c r="A17" s="11" t="s">
        <v>23</v>
      </c>
      <c r="B17" s="12">
        <v>7.98</v>
      </c>
      <c r="D17" s="14"/>
      <c r="E17" s="23"/>
      <c r="G17" s="14"/>
      <c r="H17" s="15"/>
      <c r="J17" s="11"/>
      <c r="K17" s="16"/>
      <c r="M17" s="14"/>
      <c r="N17" s="15"/>
    </row>
    <row r="18">
      <c r="A18" s="11" t="s">
        <v>30</v>
      </c>
      <c r="B18" s="12">
        <v>3.88</v>
      </c>
      <c r="D18" s="14"/>
      <c r="E18" s="23"/>
      <c r="G18" s="14"/>
      <c r="H18" s="15"/>
      <c r="J18" s="14"/>
      <c r="K18" s="15"/>
      <c r="M18" s="14"/>
      <c r="N18" s="15"/>
    </row>
    <row r="19">
      <c r="A19" s="11" t="s">
        <v>64</v>
      </c>
      <c r="B19" s="12">
        <v>4.7</v>
      </c>
      <c r="D19" s="14"/>
      <c r="E19" s="23"/>
      <c r="G19" s="14"/>
      <c r="H19" s="15"/>
      <c r="J19" s="14"/>
      <c r="K19" s="15"/>
      <c r="M19" s="14"/>
      <c r="N19" s="15"/>
    </row>
    <row r="20">
      <c r="A20" s="11" t="s">
        <v>32</v>
      </c>
      <c r="B20" s="12">
        <v>20.39</v>
      </c>
      <c r="D20" s="14"/>
      <c r="E20" s="23"/>
      <c r="G20" s="14"/>
      <c r="H20" s="15"/>
      <c r="J20" s="14"/>
      <c r="K20" s="15"/>
      <c r="M20" s="14"/>
      <c r="N20" s="15"/>
    </row>
    <row r="21">
      <c r="A21" s="11" t="s">
        <v>32</v>
      </c>
      <c r="B21" s="12">
        <v>9.36</v>
      </c>
      <c r="D21" s="14"/>
      <c r="E21" s="23"/>
      <c r="G21" s="14"/>
      <c r="H21" s="15"/>
      <c r="J21" s="14"/>
      <c r="K21" s="15"/>
      <c r="M21" s="14"/>
      <c r="N21" s="15"/>
    </row>
    <row r="22">
      <c r="A22" s="11" t="s">
        <v>23</v>
      </c>
      <c r="B22" s="12">
        <v>3.59</v>
      </c>
      <c r="D22" s="14"/>
      <c r="E22" s="23"/>
      <c r="G22" s="14"/>
      <c r="H22" s="15"/>
      <c r="J22" s="14"/>
      <c r="K22" s="15"/>
      <c r="M22" s="14"/>
      <c r="N22" s="15"/>
    </row>
    <row r="23">
      <c r="A23" s="11" t="s">
        <v>30</v>
      </c>
      <c r="B23" s="12">
        <v>6.75</v>
      </c>
      <c r="D23" s="14"/>
      <c r="E23" s="23"/>
      <c r="G23" s="14"/>
      <c r="H23" s="15"/>
      <c r="J23" s="14"/>
      <c r="K23" s="15"/>
      <c r="M23" s="14"/>
      <c r="N23" s="15"/>
    </row>
    <row r="24">
      <c r="A24" s="11" t="s">
        <v>23</v>
      </c>
      <c r="B24" s="12">
        <v>9.19</v>
      </c>
      <c r="D24" s="14"/>
      <c r="E24" s="23"/>
      <c r="G24" s="14"/>
      <c r="H24" s="15"/>
      <c r="J24" s="14"/>
      <c r="K24" s="15"/>
      <c r="M24" s="14"/>
      <c r="N24" s="15"/>
    </row>
    <row r="25">
      <c r="A25" s="11" t="s">
        <v>66</v>
      </c>
      <c r="B25" s="12">
        <v>32.91</v>
      </c>
      <c r="D25" s="14"/>
      <c r="E25" s="23"/>
      <c r="G25" s="14"/>
      <c r="H25" s="15"/>
      <c r="J25" s="14"/>
      <c r="K25" s="15"/>
      <c r="M25" s="14"/>
      <c r="N25" s="15"/>
    </row>
    <row r="26">
      <c r="A26" s="11" t="s">
        <v>23</v>
      </c>
      <c r="B26" s="12">
        <v>6.78</v>
      </c>
      <c r="D26" s="14"/>
      <c r="E26" s="23"/>
      <c r="G26" s="14"/>
      <c r="H26" s="15"/>
      <c r="J26" s="14"/>
      <c r="K26" s="15"/>
      <c r="M26" s="14"/>
      <c r="N26" s="15"/>
    </row>
    <row r="27">
      <c r="A27" s="11" t="s">
        <v>32</v>
      </c>
      <c r="B27" s="12">
        <f>93.91/2</f>
        <v>46.955</v>
      </c>
      <c r="D27" s="14"/>
      <c r="E27" s="23"/>
      <c r="G27" s="14"/>
      <c r="H27" s="15"/>
      <c r="J27" s="14"/>
      <c r="K27" s="15"/>
      <c r="M27" s="14"/>
      <c r="N27" s="15"/>
    </row>
    <row r="28">
      <c r="A28" s="11" t="s">
        <v>23</v>
      </c>
      <c r="B28" s="12">
        <v>4.68</v>
      </c>
      <c r="D28" s="14"/>
      <c r="E28" s="23"/>
      <c r="G28" s="14"/>
      <c r="H28" s="15"/>
      <c r="J28" s="14"/>
      <c r="K28" s="15"/>
      <c r="M28" s="14"/>
      <c r="N28" s="15"/>
    </row>
    <row r="29">
      <c r="A29" s="11" t="s">
        <v>23</v>
      </c>
      <c r="B29" s="12">
        <v>5.73</v>
      </c>
      <c r="D29" s="14"/>
      <c r="E29" s="23"/>
      <c r="G29" s="14"/>
      <c r="H29" s="15"/>
      <c r="J29" s="14"/>
      <c r="K29" s="15"/>
      <c r="M29" s="14"/>
      <c r="N29" s="15"/>
    </row>
    <row r="30">
      <c r="A30" s="11" t="s">
        <v>76</v>
      </c>
      <c r="B30" s="12">
        <v>14.97</v>
      </c>
      <c r="D30" s="14"/>
      <c r="E30" s="23"/>
      <c r="G30" s="14"/>
      <c r="H30" s="15"/>
      <c r="J30" s="14"/>
      <c r="K30" s="15"/>
      <c r="M30" s="14"/>
      <c r="N30" s="15"/>
    </row>
    <row r="31">
      <c r="A31" s="11" t="s">
        <v>77</v>
      </c>
      <c r="B31" s="12">
        <v>6.5</v>
      </c>
      <c r="D31" s="14"/>
      <c r="E31" s="23"/>
      <c r="G31" s="14"/>
      <c r="H31" s="15"/>
      <c r="J31" s="14"/>
      <c r="K31" s="15"/>
      <c r="M31" s="14"/>
      <c r="N31" s="15"/>
    </row>
    <row r="32">
      <c r="A32" s="11" t="s">
        <v>80</v>
      </c>
      <c r="B32" s="12">
        <v>1.3</v>
      </c>
      <c r="D32" s="14"/>
      <c r="E32" s="23"/>
      <c r="G32" s="14"/>
      <c r="H32" s="15"/>
      <c r="J32" s="14"/>
      <c r="K32" s="15"/>
      <c r="M32" s="14"/>
      <c r="N32" s="15"/>
    </row>
    <row r="33">
      <c r="A33" s="11" t="s">
        <v>30</v>
      </c>
      <c r="B33" s="12">
        <v>6.65</v>
      </c>
      <c r="D33" s="14"/>
      <c r="E33" s="23"/>
      <c r="G33" s="14"/>
      <c r="H33" s="15"/>
      <c r="J33" s="14"/>
      <c r="K33" s="15"/>
      <c r="M33" s="14"/>
      <c r="N33" s="15"/>
    </row>
    <row r="34">
      <c r="A34" s="11" t="s">
        <v>81</v>
      </c>
      <c r="B34" s="12">
        <v>38.01</v>
      </c>
      <c r="D34" s="14"/>
      <c r="E34" s="23"/>
      <c r="G34" s="14"/>
      <c r="H34" s="15"/>
      <c r="J34" s="14"/>
      <c r="K34" s="15"/>
      <c r="M34" s="14"/>
      <c r="N34" s="15"/>
    </row>
    <row r="35">
      <c r="A35" s="11" t="s">
        <v>23</v>
      </c>
      <c r="B35" s="12">
        <v>9.86</v>
      </c>
      <c r="D35" s="14"/>
      <c r="E35" s="23"/>
      <c r="G35" s="14"/>
      <c r="H35" s="15"/>
      <c r="J35" s="14"/>
      <c r="K35" s="15"/>
      <c r="M35" s="14"/>
      <c r="N35" s="15"/>
    </row>
    <row r="36">
      <c r="A36" s="11" t="s">
        <v>73</v>
      </c>
      <c r="B36" s="12">
        <v>23.24</v>
      </c>
      <c r="D36" s="14"/>
      <c r="E36" s="23"/>
      <c r="G36" s="14"/>
      <c r="H36" s="15"/>
      <c r="J36" s="14"/>
      <c r="K36" s="15"/>
      <c r="M36" s="14"/>
      <c r="N36" s="15"/>
    </row>
    <row r="37">
      <c r="A37" s="11" t="s">
        <v>23</v>
      </c>
      <c r="B37" s="12">
        <v>3.78</v>
      </c>
      <c r="D37" s="14"/>
      <c r="E37" s="23"/>
      <c r="G37" s="14"/>
      <c r="H37" s="15"/>
      <c r="J37" s="14"/>
      <c r="K37" s="15"/>
      <c r="M37" s="14"/>
      <c r="N37" s="15"/>
    </row>
    <row r="38">
      <c r="A38" s="11" t="s">
        <v>23</v>
      </c>
      <c r="B38" s="12">
        <v>11.74</v>
      </c>
      <c r="D38" s="14"/>
      <c r="E38" s="23"/>
      <c r="G38" s="14"/>
      <c r="H38" s="15"/>
      <c r="J38" s="14"/>
      <c r="K38" s="15"/>
      <c r="M38" s="14"/>
      <c r="N38" s="15"/>
    </row>
    <row r="39">
      <c r="A39" s="11" t="s">
        <v>32</v>
      </c>
      <c r="B39" s="12">
        <f>107.38 / 2</f>
        <v>53.69</v>
      </c>
      <c r="D39" s="14"/>
      <c r="E39" s="23"/>
      <c r="G39" s="14"/>
      <c r="H39" s="15"/>
      <c r="J39" s="14"/>
      <c r="K39" s="15"/>
      <c r="M39" s="14"/>
      <c r="N39" s="15"/>
    </row>
    <row r="40">
      <c r="A40" s="11" t="s">
        <v>86</v>
      </c>
      <c r="B40" s="12">
        <v>31.1</v>
      </c>
      <c r="D40" s="14"/>
      <c r="E40" s="23"/>
      <c r="G40" s="14"/>
      <c r="H40" s="15"/>
      <c r="J40" s="14"/>
      <c r="K40" s="15"/>
      <c r="M40" s="14"/>
      <c r="N40" s="15"/>
    </row>
    <row r="41">
      <c r="A41" s="11" t="s">
        <v>86</v>
      </c>
      <c r="B41" s="12">
        <v>5.8</v>
      </c>
      <c r="D41" s="14"/>
      <c r="E41" s="23"/>
      <c r="G41" s="14"/>
      <c r="H41" s="15"/>
      <c r="J41" s="14"/>
      <c r="K41" s="15"/>
      <c r="M41" s="14"/>
      <c r="N41" s="15"/>
    </row>
    <row r="42">
      <c r="A42" s="11" t="s">
        <v>88</v>
      </c>
      <c r="B42" s="12">
        <v>4.6</v>
      </c>
      <c r="D42" s="14"/>
      <c r="E42" s="23"/>
      <c r="G42" s="14"/>
      <c r="H42" s="15"/>
      <c r="J42" s="14"/>
      <c r="K42" s="15"/>
      <c r="M42" s="14"/>
      <c r="N42" s="15"/>
    </row>
    <row r="43">
      <c r="A43" s="11" t="s">
        <v>89</v>
      </c>
      <c r="B43" s="12">
        <v>45.2</v>
      </c>
      <c r="D43" s="14"/>
      <c r="E43" s="23"/>
      <c r="G43" s="14"/>
      <c r="H43" s="15"/>
      <c r="J43" s="14"/>
      <c r="K43" s="15"/>
      <c r="M43" s="14"/>
      <c r="N43" s="15"/>
    </row>
    <row r="44">
      <c r="A44" s="11" t="s">
        <v>23</v>
      </c>
      <c r="B44" s="12">
        <v>17.63</v>
      </c>
      <c r="D44" s="14"/>
      <c r="E44" s="23"/>
      <c r="G44" s="14"/>
      <c r="H44" s="15"/>
      <c r="J44" s="14"/>
      <c r="K44" s="15"/>
      <c r="M44" s="14"/>
      <c r="N44" s="15"/>
    </row>
    <row r="45">
      <c r="A45" s="11"/>
      <c r="B45" s="12"/>
      <c r="D45" s="14"/>
      <c r="E45" s="23"/>
      <c r="G45" s="14"/>
      <c r="H45" s="15"/>
      <c r="J45" s="14"/>
      <c r="K45" s="15"/>
      <c r="M45" s="14"/>
      <c r="N45" s="15"/>
    </row>
    <row r="46">
      <c r="A46" s="14"/>
      <c r="B46" s="23"/>
      <c r="D46" s="14"/>
      <c r="E46" s="23"/>
      <c r="G46" s="14"/>
      <c r="H46" s="15"/>
      <c r="J46" s="14"/>
      <c r="K46" s="15"/>
      <c r="M46" s="14"/>
      <c r="N46" s="15"/>
    </row>
    <row r="47">
      <c r="A47" s="14"/>
      <c r="B47" s="23"/>
      <c r="D47" s="14"/>
      <c r="E47" s="23"/>
      <c r="G47" s="14"/>
      <c r="H47" s="15"/>
      <c r="J47" s="14"/>
      <c r="K47" s="15"/>
      <c r="M47" s="14"/>
      <c r="N47" s="15"/>
    </row>
    <row r="48">
      <c r="A48" s="14"/>
      <c r="B48" s="23"/>
      <c r="D48" s="14"/>
      <c r="E48" s="23"/>
      <c r="G48" s="14"/>
      <c r="H48" s="15"/>
      <c r="J48" s="14"/>
      <c r="K48" s="15"/>
      <c r="M48" s="14"/>
      <c r="N48" s="15"/>
    </row>
    <row r="49">
      <c r="A49" s="14"/>
      <c r="B49" s="23"/>
      <c r="D49" s="14"/>
      <c r="E49" s="23"/>
      <c r="G49" s="14"/>
      <c r="H49" s="15"/>
      <c r="J49" s="14"/>
      <c r="K49" s="15"/>
      <c r="M49" s="14"/>
      <c r="N49" s="15"/>
    </row>
    <row r="50">
      <c r="A50" s="14"/>
      <c r="B50" s="23"/>
      <c r="D50" s="14"/>
      <c r="E50" s="23"/>
      <c r="G50" s="14"/>
      <c r="H50" s="15"/>
      <c r="J50" s="14"/>
      <c r="K50" s="15"/>
      <c r="M50" s="14"/>
      <c r="N50" s="15"/>
    </row>
    <row r="51">
      <c r="A51" s="14"/>
      <c r="B51" s="23"/>
      <c r="D51" s="14"/>
      <c r="E51" s="23"/>
      <c r="G51" s="14"/>
      <c r="H51" s="15"/>
      <c r="J51" s="14"/>
      <c r="K51" s="15"/>
      <c r="M51" s="14"/>
      <c r="N51" s="15"/>
    </row>
    <row r="52">
      <c r="A52" s="14"/>
      <c r="B52" s="23"/>
      <c r="D52" s="14"/>
      <c r="E52" s="23"/>
      <c r="G52" s="14"/>
      <c r="H52" s="15"/>
      <c r="J52" s="14"/>
      <c r="K52" s="15"/>
      <c r="M52" s="14"/>
      <c r="N52" s="15"/>
    </row>
    <row r="53">
      <c r="A53" s="14"/>
      <c r="B53" s="23"/>
      <c r="D53" s="14"/>
      <c r="E53" s="23"/>
      <c r="G53" s="14"/>
      <c r="H53" s="15"/>
      <c r="J53" s="14"/>
      <c r="K53" s="15"/>
      <c r="M53" s="14"/>
      <c r="N53" s="15"/>
    </row>
    <row r="54">
      <c r="A54" s="14"/>
      <c r="B54" s="23"/>
      <c r="D54" s="14"/>
      <c r="E54" s="23"/>
      <c r="G54" s="14"/>
      <c r="H54" s="15"/>
      <c r="J54" s="14"/>
      <c r="K54" s="15"/>
      <c r="M54" s="14"/>
      <c r="N54" s="15"/>
    </row>
    <row r="55">
      <c r="A55" s="14"/>
      <c r="B55" s="23"/>
      <c r="D55" s="14"/>
      <c r="E55" s="23"/>
      <c r="G55" s="14"/>
      <c r="H55" s="15"/>
      <c r="J55" s="14"/>
      <c r="K55" s="15"/>
      <c r="M55" s="14"/>
      <c r="N55" s="15"/>
    </row>
    <row r="56">
      <c r="A56" s="14"/>
      <c r="B56" s="23"/>
      <c r="D56" s="14"/>
      <c r="E56" s="23"/>
      <c r="G56" s="14"/>
      <c r="H56" s="15"/>
      <c r="J56" s="14"/>
      <c r="K56" s="15"/>
      <c r="M56" s="14"/>
      <c r="N56" s="15"/>
    </row>
    <row r="57">
      <c r="A57" s="14"/>
      <c r="B57" s="23"/>
      <c r="D57" s="14"/>
      <c r="E57" s="23"/>
      <c r="G57" s="14"/>
      <c r="H57" s="15"/>
      <c r="J57" s="14"/>
      <c r="K57" s="15"/>
      <c r="M57" s="14"/>
      <c r="N57" s="15"/>
    </row>
    <row r="58">
      <c r="A58" s="14"/>
      <c r="B58" s="23"/>
      <c r="D58" s="14"/>
      <c r="E58" s="23"/>
      <c r="G58" s="14"/>
      <c r="H58" s="15"/>
      <c r="J58" s="14"/>
      <c r="K58" s="15"/>
      <c r="M58" s="14"/>
      <c r="N58" s="15"/>
    </row>
    <row r="59">
      <c r="A59" s="14"/>
      <c r="B59" s="23"/>
      <c r="D59" s="14"/>
      <c r="E59" s="23"/>
      <c r="G59" s="14"/>
      <c r="H59" s="15"/>
      <c r="J59" s="14"/>
      <c r="K59" s="15"/>
      <c r="M59" s="14"/>
      <c r="N59" s="15"/>
    </row>
    <row r="60">
      <c r="A60" s="14"/>
      <c r="B60" s="23"/>
      <c r="D60" s="14"/>
      <c r="E60" s="23"/>
      <c r="G60" s="14"/>
      <c r="H60" s="15"/>
      <c r="J60" s="14"/>
      <c r="K60" s="15"/>
      <c r="M60" s="14"/>
      <c r="N60" s="15"/>
    </row>
    <row r="61">
      <c r="A61" s="14"/>
      <c r="B61" s="23"/>
      <c r="D61" s="14"/>
      <c r="E61" s="23"/>
      <c r="G61" s="14"/>
      <c r="H61" s="15"/>
      <c r="J61" s="14"/>
      <c r="K61" s="15"/>
      <c r="M61" s="14"/>
      <c r="N61" s="15"/>
    </row>
    <row r="62">
      <c r="A62" s="33"/>
      <c r="B62" s="34"/>
      <c r="D62" s="33"/>
      <c r="E62" s="34"/>
      <c r="G62" s="33"/>
      <c r="H62" s="35"/>
      <c r="J62" s="33"/>
      <c r="K62" s="35"/>
      <c r="M62" s="33"/>
      <c r="N62" s="35"/>
    </row>
    <row r="63">
      <c r="E63" s="22"/>
    </row>
    <row r="64">
      <c r="E64" s="22"/>
    </row>
    <row r="65">
      <c r="E65" s="22"/>
    </row>
    <row r="66">
      <c r="E66" s="22"/>
    </row>
    <row r="67">
      <c r="E67" s="22"/>
    </row>
    <row r="68">
      <c r="E68" s="22"/>
    </row>
    <row r="69">
      <c r="E69" s="22"/>
    </row>
    <row r="70">
      <c r="E70" s="22"/>
    </row>
    <row r="71">
      <c r="E71" s="22"/>
    </row>
    <row r="72">
      <c r="E72" s="22"/>
    </row>
    <row r="73">
      <c r="E73" s="22"/>
    </row>
    <row r="74">
      <c r="E74" s="22"/>
    </row>
    <row r="75">
      <c r="E75" s="22"/>
    </row>
    <row r="76">
      <c r="E76" s="22"/>
    </row>
    <row r="77">
      <c r="E77" s="22"/>
    </row>
    <row r="78">
      <c r="E78" s="22"/>
    </row>
    <row r="79">
      <c r="E79" s="22"/>
    </row>
    <row r="80">
      <c r="E80" s="22"/>
    </row>
    <row r="81">
      <c r="E81" s="22"/>
    </row>
    <row r="82">
      <c r="E82" s="22"/>
    </row>
    <row r="83">
      <c r="E83" s="22"/>
    </row>
    <row r="84">
      <c r="E84" s="22"/>
    </row>
    <row r="85">
      <c r="E85" s="22"/>
    </row>
    <row r="86">
      <c r="E86" s="22"/>
    </row>
    <row r="87">
      <c r="E87" s="22"/>
    </row>
    <row r="88">
      <c r="E88" s="22"/>
    </row>
    <row r="89">
      <c r="E89" s="22"/>
    </row>
    <row r="90">
      <c r="E90" s="22"/>
    </row>
    <row r="91">
      <c r="E91" s="22"/>
    </row>
    <row r="92">
      <c r="E92" s="22"/>
    </row>
    <row r="93">
      <c r="E93" s="22"/>
    </row>
    <row r="94">
      <c r="E94" s="22"/>
    </row>
    <row r="95">
      <c r="E95" s="22"/>
    </row>
    <row r="96">
      <c r="E96" s="22"/>
    </row>
    <row r="97">
      <c r="E97" s="22"/>
    </row>
    <row r="98">
      <c r="E98" s="22"/>
    </row>
    <row r="99">
      <c r="E99" s="22"/>
    </row>
    <row r="100">
      <c r="E100" s="22"/>
    </row>
    <row r="101">
      <c r="E101" s="22"/>
    </row>
    <row r="102">
      <c r="E102" s="22"/>
    </row>
    <row r="103">
      <c r="E103" s="22"/>
    </row>
    <row r="104">
      <c r="E104" s="22"/>
    </row>
    <row r="105">
      <c r="E105" s="22"/>
    </row>
    <row r="106">
      <c r="E106" s="22"/>
    </row>
    <row r="107">
      <c r="E107" s="22"/>
    </row>
    <row r="108">
      <c r="E108" s="22"/>
    </row>
    <row r="109">
      <c r="E109" s="22"/>
    </row>
    <row r="110">
      <c r="E110" s="22"/>
    </row>
    <row r="111">
      <c r="E111" s="22"/>
    </row>
    <row r="112">
      <c r="E112" s="22"/>
    </row>
    <row r="113">
      <c r="E113" s="22"/>
    </row>
    <row r="114">
      <c r="E114" s="22"/>
    </row>
    <row r="115">
      <c r="E115" s="22"/>
    </row>
    <row r="116">
      <c r="E116" s="22"/>
    </row>
    <row r="117">
      <c r="E117" s="22"/>
    </row>
    <row r="118">
      <c r="E118" s="22"/>
    </row>
    <row r="119">
      <c r="E119" s="22"/>
    </row>
    <row r="120">
      <c r="E120" s="22"/>
    </row>
    <row r="121">
      <c r="E121" s="22"/>
    </row>
    <row r="122">
      <c r="E122" s="22"/>
    </row>
    <row r="123">
      <c r="E123" s="22"/>
    </row>
    <row r="124">
      <c r="E124" s="22"/>
    </row>
    <row r="125">
      <c r="E125" s="22"/>
    </row>
    <row r="126">
      <c r="E126" s="22"/>
    </row>
    <row r="127">
      <c r="E127" s="22"/>
    </row>
    <row r="128">
      <c r="E128" s="22"/>
    </row>
    <row r="129">
      <c r="E129" s="22"/>
    </row>
    <row r="130">
      <c r="E130" s="22"/>
    </row>
    <row r="131">
      <c r="E131" s="22"/>
    </row>
    <row r="132">
      <c r="E132" s="22"/>
    </row>
    <row r="133">
      <c r="E133" s="22"/>
    </row>
    <row r="134">
      <c r="E134" s="22"/>
    </row>
    <row r="135">
      <c r="E135" s="22"/>
    </row>
    <row r="136">
      <c r="E136" s="22"/>
    </row>
    <row r="137">
      <c r="E137" s="22"/>
    </row>
    <row r="138">
      <c r="E138" s="22"/>
    </row>
    <row r="139">
      <c r="E139" s="22"/>
    </row>
    <row r="140">
      <c r="E140" s="22"/>
    </row>
    <row r="141">
      <c r="E141" s="22"/>
    </row>
    <row r="142">
      <c r="E142" s="22"/>
    </row>
    <row r="143">
      <c r="E143" s="22"/>
    </row>
    <row r="144">
      <c r="E144" s="22"/>
    </row>
    <row r="145">
      <c r="E145" s="22"/>
    </row>
    <row r="146">
      <c r="E146" s="22"/>
    </row>
    <row r="147">
      <c r="E147" s="22"/>
    </row>
    <row r="148">
      <c r="E148" s="22"/>
    </row>
    <row r="149">
      <c r="E149" s="22"/>
    </row>
    <row r="150">
      <c r="E150" s="22"/>
    </row>
    <row r="151">
      <c r="E151" s="22"/>
    </row>
    <row r="152">
      <c r="E152" s="22"/>
    </row>
    <row r="153">
      <c r="E153" s="22"/>
    </row>
    <row r="154">
      <c r="E154" s="22"/>
    </row>
    <row r="155">
      <c r="E155" s="22"/>
    </row>
    <row r="156">
      <c r="E156" s="22"/>
    </row>
    <row r="157">
      <c r="E157" s="22"/>
    </row>
    <row r="158">
      <c r="E158" s="22"/>
    </row>
    <row r="159">
      <c r="E159" s="22"/>
    </row>
    <row r="160">
      <c r="E160" s="22"/>
    </row>
    <row r="161">
      <c r="E161" s="22"/>
    </row>
    <row r="162">
      <c r="E162" s="22"/>
    </row>
    <row r="163">
      <c r="E163" s="22"/>
    </row>
    <row r="164">
      <c r="E164" s="22"/>
    </row>
    <row r="165">
      <c r="E165" s="22"/>
    </row>
    <row r="166">
      <c r="E166" s="22"/>
    </row>
    <row r="167">
      <c r="E167" s="22"/>
    </row>
    <row r="168">
      <c r="E168" s="22"/>
    </row>
    <row r="169">
      <c r="E169" s="22"/>
    </row>
    <row r="170">
      <c r="E170" s="22"/>
    </row>
    <row r="171">
      <c r="E171" s="22"/>
    </row>
    <row r="172">
      <c r="E172" s="22"/>
    </row>
    <row r="173">
      <c r="E173" s="22"/>
    </row>
    <row r="174">
      <c r="E174" s="22"/>
    </row>
    <row r="175">
      <c r="E175" s="22"/>
    </row>
    <row r="176">
      <c r="E176" s="22"/>
    </row>
    <row r="177">
      <c r="E177" s="22"/>
    </row>
    <row r="178">
      <c r="E178" s="22"/>
    </row>
    <row r="179">
      <c r="E179" s="22"/>
    </row>
    <row r="180">
      <c r="E180" s="22"/>
    </row>
    <row r="181">
      <c r="E181" s="22"/>
    </row>
    <row r="182">
      <c r="E182" s="22"/>
    </row>
    <row r="183">
      <c r="E183" s="22"/>
    </row>
    <row r="184">
      <c r="E184" s="22"/>
    </row>
    <row r="185">
      <c r="E185" s="22"/>
    </row>
    <row r="186">
      <c r="E186" s="22"/>
    </row>
    <row r="187">
      <c r="E187" s="22"/>
    </row>
    <row r="188">
      <c r="E188" s="22"/>
    </row>
    <row r="189">
      <c r="E189" s="22"/>
    </row>
    <row r="190">
      <c r="E190" s="22"/>
    </row>
    <row r="191">
      <c r="E191" s="22"/>
    </row>
    <row r="192">
      <c r="E192" s="22"/>
    </row>
    <row r="193">
      <c r="E193" s="22"/>
    </row>
    <row r="194">
      <c r="E194" s="22"/>
    </row>
    <row r="195">
      <c r="E195" s="22"/>
    </row>
    <row r="196">
      <c r="E196" s="22"/>
    </row>
    <row r="197">
      <c r="E197" s="22"/>
    </row>
    <row r="198">
      <c r="E198" s="22"/>
    </row>
    <row r="199">
      <c r="E199" s="22"/>
    </row>
    <row r="200">
      <c r="E200" s="22"/>
    </row>
    <row r="201">
      <c r="E201" s="22"/>
    </row>
    <row r="202">
      <c r="E202" s="22"/>
    </row>
    <row r="203">
      <c r="E203" s="22"/>
    </row>
    <row r="204">
      <c r="E204" s="22"/>
    </row>
    <row r="205">
      <c r="E205" s="22"/>
    </row>
    <row r="206">
      <c r="E206" s="22"/>
    </row>
    <row r="207">
      <c r="E207" s="22"/>
    </row>
    <row r="208">
      <c r="E208" s="22"/>
    </row>
    <row r="209">
      <c r="E209" s="22"/>
    </row>
    <row r="210">
      <c r="E210" s="22"/>
    </row>
    <row r="211">
      <c r="E211" s="22"/>
    </row>
    <row r="212">
      <c r="E212" s="22"/>
    </row>
    <row r="213">
      <c r="E213" s="22"/>
    </row>
    <row r="214">
      <c r="E214" s="22"/>
    </row>
    <row r="215">
      <c r="E215" s="22"/>
    </row>
    <row r="216">
      <c r="E216" s="22"/>
    </row>
    <row r="217">
      <c r="E217" s="22"/>
    </row>
    <row r="218">
      <c r="E218" s="22"/>
    </row>
    <row r="219">
      <c r="E219" s="22"/>
    </row>
    <row r="220">
      <c r="E220" s="22"/>
    </row>
    <row r="221">
      <c r="E221" s="22"/>
    </row>
    <row r="222">
      <c r="E222" s="22"/>
    </row>
    <row r="223">
      <c r="E223" s="22"/>
    </row>
    <row r="224">
      <c r="E224" s="22"/>
    </row>
    <row r="225">
      <c r="E225" s="22"/>
    </row>
    <row r="226">
      <c r="E226" s="22"/>
    </row>
    <row r="227">
      <c r="E227" s="22"/>
    </row>
    <row r="228">
      <c r="E228" s="22"/>
    </row>
    <row r="229">
      <c r="E229" s="22"/>
    </row>
    <row r="230">
      <c r="E230" s="22"/>
    </row>
    <row r="231">
      <c r="E231" s="22"/>
    </row>
    <row r="232">
      <c r="E232" s="22"/>
    </row>
    <row r="233">
      <c r="E233" s="22"/>
    </row>
    <row r="234">
      <c r="E234" s="22"/>
    </row>
    <row r="235">
      <c r="E235" s="22"/>
    </row>
    <row r="236">
      <c r="E236" s="22"/>
    </row>
    <row r="237">
      <c r="E237" s="22"/>
    </row>
    <row r="238">
      <c r="E238" s="22"/>
    </row>
    <row r="239">
      <c r="E239" s="22"/>
    </row>
    <row r="240">
      <c r="E240" s="22"/>
    </row>
    <row r="241">
      <c r="E241" s="22"/>
    </row>
    <row r="242">
      <c r="E242" s="22"/>
    </row>
    <row r="243">
      <c r="E243" s="22"/>
    </row>
    <row r="244">
      <c r="E244" s="22"/>
    </row>
    <row r="245">
      <c r="E245" s="22"/>
    </row>
    <row r="246">
      <c r="E246" s="22"/>
    </row>
    <row r="247">
      <c r="E247" s="22"/>
    </row>
    <row r="248">
      <c r="E248" s="22"/>
    </row>
    <row r="249">
      <c r="E249" s="22"/>
    </row>
    <row r="250">
      <c r="E250" s="22"/>
    </row>
    <row r="251">
      <c r="E251" s="22"/>
    </row>
    <row r="252">
      <c r="E252" s="22"/>
    </row>
    <row r="253">
      <c r="E253" s="22"/>
    </row>
    <row r="254">
      <c r="E254" s="22"/>
    </row>
    <row r="255">
      <c r="E255" s="22"/>
    </row>
    <row r="256">
      <c r="E256" s="22"/>
    </row>
    <row r="257">
      <c r="E257" s="22"/>
    </row>
    <row r="258">
      <c r="E258" s="22"/>
    </row>
    <row r="259">
      <c r="E259" s="22"/>
    </row>
    <row r="260">
      <c r="E260" s="22"/>
    </row>
    <row r="261">
      <c r="E261" s="22"/>
    </row>
    <row r="262">
      <c r="E262" s="22"/>
    </row>
    <row r="263">
      <c r="E263" s="22"/>
    </row>
    <row r="264">
      <c r="E264" s="22"/>
    </row>
    <row r="265">
      <c r="E265" s="22"/>
    </row>
    <row r="266">
      <c r="E266" s="22"/>
    </row>
    <row r="267">
      <c r="E267" s="22"/>
    </row>
    <row r="268">
      <c r="E268" s="22"/>
    </row>
    <row r="269">
      <c r="E269" s="22"/>
    </row>
    <row r="270">
      <c r="E270" s="22"/>
    </row>
    <row r="271">
      <c r="E271" s="22"/>
    </row>
    <row r="272">
      <c r="E272" s="22"/>
    </row>
    <row r="273">
      <c r="E273" s="22"/>
    </row>
    <row r="274">
      <c r="E274" s="22"/>
    </row>
    <row r="275">
      <c r="E275" s="22"/>
    </row>
    <row r="276">
      <c r="E276" s="22"/>
    </row>
    <row r="277">
      <c r="E277" s="22"/>
    </row>
    <row r="278">
      <c r="E278" s="22"/>
    </row>
    <row r="279">
      <c r="E279" s="22"/>
    </row>
    <row r="280">
      <c r="E280" s="22"/>
    </row>
    <row r="281">
      <c r="E281" s="22"/>
    </row>
    <row r="282">
      <c r="E282" s="22"/>
    </row>
    <row r="283">
      <c r="E283" s="22"/>
    </row>
    <row r="284">
      <c r="E284" s="22"/>
    </row>
    <row r="285">
      <c r="E285" s="22"/>
    </row>
    <row r="286">
      <c r="E286" s="22"/>
    </row>
    <row r="287">
      <c r="E287" s="22"/>
    </row>
    <row r="288">
      <c r="E288" s="22"/>
    </row>
    <row r="289">
      <c r="E289" s="22"/>
    </row>
    <row r="290">
      <c r="E290" s="22"/>
    </row>
    <row r="291">
      <c r="E291" s="22"/>
    </row>
    <row r="292">
      <c r="E292" s="22"/>
    </row>
    <row r="293">
      <c r="E293" s="22"/>
    </row>
    <row r="294">
      <c r="E294" s="22"/>
    </row>
    <row r="295">
      <c r="E295" s="22"/>
    </row>
    <row r="296">
      <c r="E296" s="22"/>
    </row>
    <row r="297">
      <c r="E297" s="22"/>
    </row>
    <row r="298">
      <c r="E298" s="22"/>
    </row>
    <row r="299">
      <c r="E299" s="22"/>
    </row>
    <row r="300">
      <c r="E300" s="22"/>
    </row>
    <row r="301">
      <c r="E301" s="22"/>
    </row>
    <row r="302">
      <c r="E302" s="22"/>
    </row>
    <row r="303">
      <c r="E303" s="22"/>
    </row>
    <row r="304">
      <c r="E304" s="22"/>
    </row>
    <row r="305">
      <c r="E305" s="22"/>
    </row>
    <row r="306">
      <c r="E306" s="22"/>
    </row>
    <row r="307">
      <c r="E307" s="22"/>
    </row>
    <row r="308">
      <c r="E308" s="22"/>
    </row>
    <row r="309">
      <c r="E309" s="22"/>
    </row>
    <row r="310">
      <c r="E310" s="22"/>
    </row>
    <row r="311">
      <c r="E311" s="22"/>
    </row>
    <row r="312">
      <c r="E312" s="22"/>
    </row>
    <row r="313">
      <c r="E313" s="22"/>
    </row>
    <row r="314">
      <c r="E314" s="22"/>
    </row>
    <row r="315">
      <c r="E315" s="22"/>
    </row>
    <row r="316">
      <c r="E316" s="22"/>
    </row>
    <row r="317">
      <c r="E317" s="22"/>
    </row>
    <row r="318">
      <c r="E318" s="22"/>
    </row>
    <row r="319">
      <c r="E319" s="22"/>
    </row>
    <row r="320">
      <c r="E320" s="22"/>
    </row>
    <row r="321">
      <c r="E321" s="22"/>
    </row>
    <row r="322">
      <c r="E322" s="22"/>
    </row>
    <row r="323">
      <c r="E323" s="22"/>
    </row>
    <row r="324">
      <c r="E324" s="22"/>
    </row>
    <row r="325">
      <c r="E325" s="22"/>
    </row>
    <row r="326">
      <c r="E326" s="22"/>
    </row>
    <row r="327">
      <c r="E327" s="22"/>
    </row>
    <row r="328">
      <c r="E328" s="22"/>
    </row>
    <row r="329">
      <c r="E329" s="22"/>
    </row>
    <row r="330">
      <c r="E330" s="22"/>
    </row>
    <row r="331">
      <c r="E331" s="22"/>
    </row>
    <row r="332">
      <c r="E332" s="22"/>
    </row>
    <row r="333">
      <c r="E333" s="22"/>
    </row>
    <row r="334">
      <c r="E334" s="22"/>
    </row>
    <row r="335">
      <c r="E335" s="22"/>
    </row>
    <row r="336">
      <c r="E336" s="22"/>
    </row>
    <row r="337">
      <c r="E337" s="22"/>
    </row>
    <row r="338">
      <c r="E338" s="22"/>
    </row>
    <row r="339">
      <c r="E339" s="22"/>
    </row>
    <row r="340">
      <c r="E340" s="22"/>
    </row>
    <row r="341">
      <c r="E341" s="22"/>
    </row>
    <row r="342">
      <c r="E342" s="22"/>
    </row>
    <row r="343">
      <c r="E343" s="22"/>
    </row>
    <row r="344">
      <c r="E344" s="22"/>
    </row>
    <row r="345">
      <c r="E345" s="22"/>
    </row>
    <row r="346">
      <c r="E346" s="22"/>
    </row>
    <row r="347">
      <c r="E347" s="22"/>
    </row>
    <row r="348">
      <c r="E348" s="22"/>
    </row>
    <row r="349">
      <c r="E349" s="22"/>
    </row>
    <row r="350">
      <c r="E350" s="22"/>
    </row>
    <row r="351">
      <c r="E351" s="22"/>
    </row>
    <row r="352">
      <c r="E352" s="22"/>
    </row>
    <row r="353">
      <c r="E353" s="22"/>
    </row>
    <row r="354">
      <c r="E354" s="22"/>
    </row>
    <row r="355">
      <c r="E355" s="22"/>
    </row>
    <row r="356">
      <c r="E356" s="22"/>
    </row>
    <row r="357">
      <c r="E357" s="22"/>
    </row>
    <row r="358">
      <c r="E358" s="22"/>
    </row>
    <row r="359">
      <c r="E359" s="22"/>
    </row>
    <row r="360">
      <c r="E360" s="22"/>
    </row>
    <row r="361">
      <c r="E361" s="22"/>
    </row>
    <row r="362">
      <c r="E362" s="22"/>
    </row>
    <row r="363">
      <c r="E363" s="22"/>
    </row>
    <row r="364">
      <c r="E364" s="22"/>
    </row>
    <row r="365">
      <c r="E365" s="22"/>
    </row>
    <row r="366">
      <c r="E366" s="22"/>
    </row>
    <row r="367">
      <c r="E367" s="22"/>
    </row>
    <row r="368">
      <c r="E368" s="22"/>
    </row>
    <row r="369">
      <c r="E369" s="22"/>
    </row>
    <row r="370">
      <c r="E370" s="22"/>
    </row>
    <row r="371">
      <c r="E371" s="22"/>
    </row>
    <row r="372">
      <c r="E372" s="22"/>
    </row>
    <row r="373">
      <c r="E373" s="22"/>
    </row>
    <row r="374">
      <c r="E374" s="22"/>
    </row>
    <row r="375">
      <c r="E375" s="22"/>
    </row>
    <row r="376">
      <c r="E376" s="22"/>
    </row>
    <row r="377">
      <c r="E377" s="22"/>
    </row>
    <row r="378">
      <c r="E378" s="22"/>
    </row>
    <row r="379">
      <c r="E379" s="22"/>
    </row>
    <row r="380">
      <c r="E380" s="22"/>
    </row>
    <row r="381">
      <c r="E381" s="22"/>
    </row>
    <row r="382">
      <c r="E382" s="22"/>
    </row>
    <row r="383">
      <c r="E383" s="22"/>
    </row>
    <row r="384">
      <c r="E384" s="22"/>
    </row>
    <row r="385">
      <c r="E385" s="22"/>
    </row>
    <row r="386">
      <c r="E386" s="22"/>
    </row>
    <row r="387">
      <c r="E387" s="22"/>
    </row>
    <row r="388">
      <c r="E388" s="22"/>
    </row>
    <row r="389">
      <c r="E389" s="22"/>
    </row>
    <row r="390">
      <c r="E390" s="22"/>
    </row>
    <row r="391">
      <c r="E391" s="22"/>
    </row>
    <row r="392">
      <c r="E392" s="22"/>
    </row>
    <row r="393">
      <c r="E393" s="22"/>
    </row>
    <row r="394">
      <c r="E394" s="22"/>
    </row>
    <row r="395">
      <c r="E395" s="22"/>
    </row>
    <row r="396">
      <c r="E396" s="22"/>
    </row>
    <row r="397">
      <c r="E397" s="22"/>
    </row>
    <row r="398">
      <c r="E398" s="22"/>
    </row>
    <row r="399">
      <c r="E399" s="22"/>
    </row>
    <row r="400">
      <c r="E400" s="22"/>
    </row>
    <row r="401">
      <c r="E401" s="22"/>
    </row>
    <row r="402">
      <c r="E402" s="22"/>
    </row>
    <row r="403">
      <c r="E403" s="22"/>
    </row>
    <row r="404">
      <c r="E404" s="22"/>
    </row>
    <row r="405">
      <c r="E405" s="22"/>
    </row>
    <row r="406">
      <c r="E406" s="22"/>
    </row>
    <row r="407">
      <c r="E407" s="22"/>
    </row>
    <row r="408">
      <c r="E408" s="22"/>
    </row>
    <row r="409">
      <c r="E409" s="22"/>
    </row>
    <row r="410">
      <c r="E410" s="22"/>
    </row>
    <row r="411">
      <c r="E411" s="22"/>
    </row>
    <row r="412">
      <c r="E412" s="22"/>
    </row>
    <row r="413">
      <c r="E413" s="22"/>
    </row>
    <row r="414">
      <c r="E414" s="22"/>
    </row>
    <row r="415">
      <c r="E415" s="22"/>
    </row>
    <row r="416">
      <c r="E416" s="22"/>
    </row>
    <row r="417">
      <c r="E417" s="22"/>
    </row>
    <row r="418">
      <c r="E418" s="22"/>
    </row>
    <row r="419">
      <c r="E419" s="22"/>
    </row>
    <row r="420">
      <c r="E420" s="22"/>
    </row>
    <row r="421">
      <c r="E421" s="22"/>
    </row>
    <row r="422">
      <c r="E422" s="22"/>
    </row>
    <row r="423">
      <c r="E423" s="22"/>
    </row>
    <row r="424">
      <c r="E424" s="22"/>
    </row>
    <row r="425">
      <c r="E425" s="22"/>
    </row>
    <row r="426">
      <c r="E426" s="22"/>
    </row>
    <row r="427">
      <c r="E427" s="22"/>
    </row>
    <row r="428">
      <c r="E428" s="22"/>
    </row>
    <row r="429">
      <c r="E429" s="22"/>
    </row>
    <row r="430">
      <c r="E430" s="22"/>
    </row>
    <row r="431">
      <c r="E431" s="22"/>
    </row>
    <row r="432">
      <c r="E432" s="22"/>
    </row>
    <row r="433">
      <c r="E433" s="22"/>
    </row>
    <row r="434">
      <c r="E434" s="22"/>
    </row>
    <row r="435">
      <c r="E435" s="22"/>
    </row>
    <row r="436">
      <c r="E436" s="22"/>
    </row>
    <row r="437">
      <c r="E437" s="22"/>
    </row>
    <row r="438">
      <c r="E438" s="22"/>
    </row>
    <row r="439">
      <c r="E439" s="22"/>
    </row>
    <row r="440">
      <c r="E440" s="22"/>
    </row>
    <row r="441">
      <c r="E441" s="22"/>
    </row>
    <row r="442">
      <c r="E442" s="22"/>
    </row>
    <row r="443">
      <c r="E443" s="22"/>
    </row>
    <row r="444">
      <c r="E444" s="22"/>
    </row>
    <row r="445">
      <c r="E445" s="22"/>
    </row>
    <row r="446">
      <c r="E446" s="22"/>
    </row>
    <row r="447">
      <c r="E447" s="22"/>
    </row>
    <row r="448">
      <c r="E448" s="22"/>
    </row>
    <row r="449">
      <c r="E449" s="22"/>
    </row>
    <row r="450">
      <c r="E450" s="22"/>
    </row>
    <row r="451">
      <c r="E451" s="22"/>
    </row>
    <row r="452">
      <c r="E452" s="22"/>
    </row>
    <row r="453">
      <c r="E453" s="22"/>
    </row>
    <row r="454">
      <c r="E454" s="22"/>
    </row>
    <row r="455">
      <c r="E455" s="22"/>
    </row>
    <row r="456">
      <c r="E456" s="22"/>
    </row>
    <row r="457">
      <c r="E457" s="22"/>
    </row>
    <row r="458">
      <c r="E458" s="22"/>
    </row>
    <row r="459">
      <c r="E459" s="22"/>
    </row>
    <row r="460">
      <c r="E460" s="22"/>
    </row>
    <row r="461">
      <c r="E461" s="22"/>
    </row>
    <row r="462">
      <c r="E462" s="22"/>
    </row>
    <row r="463">
      <c r="E463" s="22"/>
    </row>
    <row r="464">
      <c r="E464" s="22"/>
    </row>
    <row r="465">
      <c r="E465" s="22"/>
    </row>
    <row r="466">
      <c r="E466" s="22"/>
    </row>
    <row r="467">
      <c r="E467" s="22"/>
    </row>
    <row r="468">
      <c r="E468" s="22"/>
    </row>
    <row r="469">
      <c r="E469" s="22"/>
    </row>
    <row r="470">
      <c r="E470" s="22"/>
    </row>
    <row r="471">
      <c r="E471" s="22"/>
    </row>
    <row r="472">
      <c r="E472" s="22"/>
    </row>
    <row r="473">
      <c r="E473" s="22"/>
    </row>
    <row r="474">
      <c r="E474" s="22"/>
    </row>
    <row r="475">
      <c r="E475" s="22"/>
    </row>
    <row r="476">
      <c r="E476" s="22"/>
    </row>
    <row r="477">
      <c r="E477" s="22"/>
    </row>
    <row r="478">
      <c r="E478" s="22"/>
    </row>
    <row r="479">
      <c r="E479" s="22"/>
    </row>
    <row r="480">
      <c r="E480" s="22"/>
    </row>
    <row r="481">
      <c r="E481" s="22"/>
    </row>
    <row r="482">
      <c r="E482" s="22"/>
    </row>
    <row r="483">
      <c r="E483" s="22"/>
    </row>
    <row r="484">
      <c r="E484" s="22"/>
    </row>
    <row r="485">
      <c r="E485" s="22"/>
    </row>
    <row r="486">
      <c r="E486" s="22"/>
    </row>
    <row r="487">
      <c r="E487" s="22"/>
    </row>
    <row r="488">
      <c r="E488" s="22"/>
    </row>
    <row r="489">
      <c r="E489" s="22"/>
    </row>
    <row r="490">
      <c r="E490" s="22"/>
    </row>
    <row r="491">
      <c r="E491" s="22"/>
    </row>
    <row r="492">
      <c r="E492" s="22"/>
    </row>
    <row r="493">
      <c r="E493" s="22"/>
    </row>
    <row r="494">
      <c r="E494" s="22"/>
    </row>
    <row r="495">
      <c r="E495" s="22"/>
    </row>
    <row r="496">
      <c r="E496" s="22"/>
    </row>
    <row r="497">
      <c r="E497" s="22"/>
    </row>
    <row r="498">
      <c r="E498" s="22"/>
    </row>
    <row r="499">
      <c r="E499" s="22"/>
    </row>
    <row r="500">
      <c r="E500" s="22"/>
    </row>
    <row r="501">
      <c r="E501" s="22"/>
    </row>
    <row r="502">
      <c r="E502" s="22"/>
    </row>
    <row r="503">
      <c r="E503" s="22"/>
    </row>
    <row r="504">
      <c r="E504" s="22"/>
    </row>
    <row r="505">
      <c r="E505" s="22"/>
    </row>
    <row r="506">
      <c r="E506" s="22"/>
    </row>
    <row r="507">
      <c r="E507" s="22"/>
    </row>
    <row r="508">
      <c r="E508" s="22"/>
    </row>
    <row r="509">
      <c r="E509" s="22"/>
    </row>
    <row r="510">
      <c r="E510" s="22"/>
    </row>
    <row r="511">
      <c r="E511" s="22"/>
    </row>
    <row r="512">
      <c r="E512" s="22"/>
    </row>
    <row r="513">
      <c r="E513" s="22"/>
    </row>
    <row r="514">
      <c r="E514" s="22"/>
    </row>
    <row r="515">
      <c r="E515" s="22"/>
    </row>
    <row r="516">
      <c r="E516" s="22"/>
    </row>
    <row r="517">
      <c r="E517" s="22"/>
    </row>
    <row r="518">
      <c r="E518" s="22"/>
    </row>
    <row r="519">
      <c r="E519" s="22"/>
    </row>
    <row r="520">
      <c r="E520" s="22"/>
    </row>
    <row r="521">
      <c r="E521" s="22"/>
    </row>
    <row r="522">
      <c r="E522" s="22"/>
    </row>
    <row r="523">
      <c r="E523" s="22"/>
    </row>
    <row r="524">
      <c r="E524" s="22"/>
    </row>
    <row r="525">
      <c r="E525" s="22"/>
    </row>
    <row r="526">
      <c r="E526" s="22"/>
    </row>
    <row r="527">
      <c r="E527" s="22"/>
    </row>
    <row r="528">
      <c r="E528" s="22"/>
    </row>
    <row r="529">
      <c r="E529" s="22"/>
    </row>
    <row r="530">
      <c r="E530" s="22"/>
    </row>
    <row r="531">
      <c r="E531" s="22"/>
    </row>
    <row r="532">
      <c r="E532" s="22"/>
    </row>
    <row r="533">
      <c r="E533" s="22"/>
    </row>
    <row r="534">
      <c r="E534" s="22"/>
    </row>
    <row r="535">
      <c r="E535" s="22"/>
    </row>
    <row r="536">
      <c r="E536" s="22"/>
    </row>
    <row r="537">
      <c r="E537" s="22"/>
    </row>
    <row r="538">
      <c r="E538" s="22"/>
    </row>
    <row r="539">
      <c r="E539" s="22"/>
    </row>
    <row r="540">
      <c r="E540" s="22"/>
    </row>
    <row r="541">
      <c r="E541" s="22"/>
    </row>
    <row r="542">
      <c r="E542" s="22"/>
    </row>
    <row r="543">
      <c r="E543" s="22"/>
    </row>
    <row r="544">
      <c r="E544" s="22"/>
    </row>
    <row r="545">
      <c r="E545" s="22"/>
    </row>
    <row r="546">
      <c r="E546" s="22"/>
    </row>
    <row r="547">
      <c r="E547" s="22"/>
    </row>
    <row r="548">
      <c r="E548" s="22"/>
    </row>
    <row r="549">
      <c r="E549" s="22"/>
    </row>
    <row r="550">
      <c r="E550" s="22"/>
    </row>
    <row r="551">
      <c r="E551" s="22"/>
    </row>
    <row r="552">
      <c r="E552" s="22"/>
    </row>
    <row r="553">
      <c r="E553" s="22"/>
    </row>
    <row r="554">
      <c r="E554" s="22"/>
    </row>
    <row r="555">
      <c r="E555" s="22"/>
    </row>
    <row r="556">
      <c r="E556" s="22"/>
    </row>
    <row r="557">
      <c r="E557" s="22"/>
    </row>
    <row r="558">
      <c r="E558" s="22"/>
    </row>
    <row r="559">
      <c r="E559" s="22"/>
    </row>
    <row r="560">
      <c r="E560" s="22"/>
    </row>
    <row r="561">
      <c r="E561" s="22"/>
    </row>
    <row r="562">
      <c r="E562" s="22"/>
    </row>
    <row r="563">
      <c r="E563" s="22"/>
    </row>
    <row r="564">
      <c r="E564" s="22"/>
    </row>
    <row r="565">
      <c r="E565" s="22"/>
    </row>
    <row r="566">
      <c r="E566" s="22"/>
    </row>
    <row r="567">
      <c r="E567" s="22"/>
    </row>
    <row r="568">
      <c r="E568" s="22"/>
    </row>
    <row r="569">
      <c r="E569" s="22"/>
    </row>
    <row r="570">
      <c r="E570" s="22"/>
    </row>
    <row r="571">
      <c r="E571" s="22"/>
    </row>
    <row r="572">
      <c r="E572" s="22"/>
    </row>
    <row r="573">
      <c r="E573" s="22"/>
    </row>
    <row r="574">
      <c r="E574" s="22"/>
    </row>
    <row r="575">
      <c r="E575" s="22"/>
    </row>
    <row r="576">
      <c r="E576" s="22"/>
    </row>
    <row r="577">
      <c r="E577" s="22"/>
    </row>
    <row r="578">
      <c r="E578" s="22"/>
    </row>
    <row r="579">
      <c r="E579" s="22"/>
    </row>
    <row r="580">
      <c r="E580" s="22"/>
    </row>
    <row r="581">
      <c r="E581" s="22"/>
    </row>
    <row r="582">
      <c r="E582" s="22"/>
    </row>
    <row r="583">
      <c r="E583" s="22"/>
    </row>
    <row r="584">
      <c r="E584" s="22"/>
    </row>
    <row r="585">
      <c r="E585" s="22"/>
    </row>
    <row r="586">
      <c r="E586" s="22"/>
    </row>
    <row r="587">
      <c r="E587" s="22"/>
    </row>
    <row r="588">
      <c r="E588" s="22"/>
    </row>
    <row r="589">
      <c r="E589" s="22"/>
    </row>
    <row r="590">
      <c r="E590" s="22"/>
    </row>
    <row r="591">
      <c r="E591" s="22"/>
    </row>
    <row r="592">
      <c r="E592" s="22"/>
    </row>
    <row r="593">
      <c r="E593" s="22"/>
    </row>
    <row r="594">
      <c r="E594" s="22"/>
    </row>
    <row r="595">
      <c r="E595" s="22"/>
    </row>
    <row r="596">
      <c r="E596" s="22"/>
    </row>
    <row r="597">
      <c r="E597" s="22"/>
    </row>
    <row r="598">
      <c r="E598" s="22"/>
    </row>
    <row r="599">
      <c r="E599" s="22"/>
    </row>
    <row r="600">
      <c r="E600" s="22"/>
    </row>
    <row r="601">
      <c r="E601" s="22"/>
    </row>
    <row r="602">
      <c r="E602" s="22"/>
    </row>
    <row r="603">
      <c r="E603" s="22"/>
    </row>
    <row r="604">
      <c r="E604" s="22"/>
    </row>
    <row r="605">
      <c r="E605" s="22"/>
    </row>
    <row r="606">
      <c r="E606" s="22"/>
    </row>
    <row r="607">
      <c r="E607" s="22"/>
    </row>
    <row r="608">
      <c r="E608" s="22"/>
    </row>
    <row r="609">
      <c r="E609" s="22"/>
    </row>
    <row r="610">
      <c r="E610" s="22"/>
    </row>
    <row r="611">
      <c r="E611" s="22"/>
    </row>
    <row r="612">
      <c r="E612" s="22"/>
    </row>
    <row r="613">
      <c r="E613" s="22"/>
    </row>
    <row r="614">
      <c r="E614" s="22"/>
    </row>
    <row r="615">
      <c r="E615" s="22"/>
    </row>
    <row r="616">
      <c r="E616" s="22"/>
    </row>
    <row r="617">
      <c r="E617" s="22"/>
    </row>
    <row r="618">
      <c r="E618" s="22"/>
    </row>
    <row r="619">
      <c r="E619" s="22"/>
    </row>
    <row r="620">
      <c r="E620" s="22"/>
    </row>
    <row r="621">
      <c r="E621" s="22"/>
    </row>
    <row r="622">
      <c r="E622" s="22"/>
    </row>
    <row r="623">
      <c r="E623" s="22"/>
    </row>
    <row r="624">
      <c r="E624" s="22"/>
    </row>
    <row r="625">
      <c r="E625" s="22"/>
    </row>
    <row r="626">
      <c r="E626" s="22"/>
    </row>
    <row r="627">
      <c r="E627" s="22"/>
    </row>
    <row r="628">
      <c r="E628" s="22"/>
    </row>
    <row r="629">
      <c r="E629" s="22"/>
    </row>
    <row r="630">
      <c r="E630" s="22"/>
    </row>
    <row r="631">
      <c r="E631" s="22"/>
    </row>
    <row r="632">
      <c r="E632" s="22"/>
    </row>
    <row r="633">
      <c r="E633" s="22"/>
    </row>
    <row r="634">
      <c r="E634" s="22"/>
    </row>
    <row r="635">
      <c r="E635" s="22"/>
    </row>
    <row r="636">
      <c r="E636" s="22"/>
    </row>
    <row r="637">
      <c r="E637" s="22"/>
    </row>
    <row r="638">
      <c r="E638" s="22"/>
    </row>
    <row r="639">
      <c r="E639" s="22"/>
    </row>
    <row r="640">
      <c r="E640" s="22"/>
    </row>
    <row r="641">
      <c r="E641" s="22"/>
    </row>
    <row r="642">
      <c r="E642" s="22"/>
    </row>
    <row r="643">
      <c r="E643" s="22"/>
    </row>
    <row r="644">
      <c r="E644" s="22"/>
    </row>
    <row r="645">
      <c r="E645" s="22"/>
    </row>
    <row r="646">
      <c r="E646" s="22"/>
    </row>
    <row r="647">
      <c r="E647" s="22"/>
    </row>
    <row r="648">
      <c r="E648" s="22"/>
    </row>
    <row r="649">
      <c r="E649" s="22"/>
    </row>
    <row r="650">
      <c r="E650" s="22"/>
    </row>
    <row r="651">
      <c r="E651" s="22"/>
    </row>
    <row r="652">
      <c r="E652" s="22"/>
    </row>
    <row r="653">
      <c r="E653" s="22"/>
    </row>
    <row r="654">
      <c r="E654" s="22"/>
    </row>
    <row r="655">
      <c r="E655" s="22"/>
    </row>
    <row r="656">
      <c r="E656" s="22"/>
    </row>
    <row r="657">
      <c r="E657" s="22"/>
    </row>
    <row r="658">
      <c r="E658" s="22"/>
    </row>
    <row r="659">
      <c r="E659" s="22"/>
    </row>
    <row r="660">
      <c r="E660" s="22"/>
    </row>
    <row r="661">
      <c r="E661" s="22"/>
    </row>
    <row r="662">
      <c r="E662" s="22"/>
    </row>
    <row r="663">
      <c r="E663" s="22"/>
    </row>
    <row r="664">
      <c r="E664" s="22"/>
    </row>
    <row r="665">
      <c r="E665" s="22"/>
    </row>
    <row r="666">
      <c r="E666" s="22"/>
    </row>
    <row r="667">
      <c r="E667" s="22"/>
    </row>
    <row r="668">
      <c r="E668" s="22"/>
    </row>
    <row r="669">
      <c r="E669" s="22"/>
    </row>
    <row r="670">
      <c r="E670" s="22"/>
    </row>
    <row r="671">
      <c r="E671" s="22"/>
    </row>
    <row r="672">
      <c r="E672" s="22"/>
    </row>
    <row r="673">
      <c r="E673" s="22"/>
    </row>
    <row r="674">
      <c r="E674" s="22"/>
    </row>
    <row r="675">
      <c r="E675" s="22"/>
    </row>
    <row r="676">
      <c r="E676" s="22"/>
    </row>
    <row r="677">
      <c r="E677" s="22"/>
    </row>
    <row r="678">
      <c r="E678" s="22"/>
    </row>
    <row r="679">
      <c r="E679" s="22"/>
    </row>
    <row r="680">
      <c r="E680" s="22"/>
    </row>
    <row r="681">
      <c r="E681" s="22"/>
    </row>
    <row r="682">
      <c r="E682" s="22"/>
    </row>
    <row r="683">
      <c r="E683" s="22"/>
    </row>
    <row r="684">
      <c r="E684" s="22"/>
    </row>
    <row r="685">
      <c r="E685" s="22"/>
    </row>
    <row r="686">
      <c r="E686" s="22"/>
    </row>
    <row r="687">
      <c r="E687" s="22"/>
    </row>
    <row r="688">
      <c r="E688" s="22"/>
    </row>
    <row r="689">
      <c r="E689" s="22"/>
    </row>
    <row r="690">
      <c r="E690" s="22"/>
    </row>
    <row r="691">
      <c r="E691" s="22"/>
    </row>
    <row r="692">
      <c r="E692" s="22"/>
    </row>
    <row r="693">
      <c r="E693" s="22"/>
    </row>
    <row r="694">
      <c r="E694" s="22"/>
    </row>
    <row r="695">
      <c r="E695" s="22"/>
    </row>
    <row r="696">
      <c r="E696" s="22"/>
    </row>
    <row r="697">
      <c r="E697" s="22"/>
    </row>
    <row r="698">
      <c r="E698" s="22"/>
    </row>
    <row r="699">
      <c r="E699" s="22"/>
    </row>
    <row r="700">
      <c r="E700" s="22"/>
    </row>
    <row r="701">
      <c r="E701" s="22"/>
    </row>
    <row r="702">
      <c r="E702" s="22"/>
    </row>
    <row r="703">
      <c r="E703" s="22"/>
    </row>
    <row r="704">
      <c r="E704" s="22"/>
    </row>
    <row r="705">
      <c r="E705" s="22"/>
    </row>
    <row r="706">
      <c r="E706" s="22"/>
    </row>
    <row r="707">
      <c r="E707" s="22"/>
    </row>
    <row r="708">
      <c r="E708" s="22"/>
    </row>
    <row r="709">
      <c r="E709" s="22"/>
    </row>
    <row r="710">
      <c r="E710" s="22"/>
    </row>
    <row r="711">
      <c r="E711" s="22"/>
    </row>
    <row r="712">
      <c r="E712" s="22"/>
    </row>
    <row r="713">
      <c r="E713" s="22"/>
    </row>
    <row r="714">
      <c r="E714" s="22"/>
    </row>
    <row r="715">
      <c r="E715" s="22"/>
    </row>
    <row r="716">
      <c r="E716" s="22"/>
    </row>
    <row r="717">
      <c r="E717" s="22"/>
    </row>
    <row r="718">
      <c r="E718" s="22"/>
    </row>
    <row r="719">
      <c r="E719" s="22"/>
    </row>
    <row r="720">
      <c r="E720" s="22"/>
    </row>
    <row r="721">
      <c r="E721" s="22"/>
    </row>
    <row r="722">
      <c r="E722" s="22"/>
    </row>
    <row r="723">
      <c r="E723" s="22"/>
    </row>
    <row r="724">
      <c r="E724" s="22"/>
    </row>
    <row r="725">
      <c r="E725" s="22"/>
    </row>
    <row r="726">
      <c r="E726" s="22"/>
    </row>
    <row r="727">
      <c r="E727" s="22"/>
    </row>
    <row r="728">
      <c r="E728" s="22"/>
    </row>
    <row r="729">
      <c r="E729" s="22"/>
    </row>
    <row r="730">
      <c r="E730" s="22"/>
    </row>
    <row r="731">
      <c r="E731" s="22"/>
    </row>
    <row r="732">
      <c r="E732" s="22"/>
    </row>
    <row r="733">
      <c r="E733" s="22"/>
    </row>
    <row r="734">
      <c r="E734" s="22"/>
    </row>
    <row r="735">
      <c r="E735" s="22"/>
    </row>
    <row r="736">
      <c r="E736" s="22"/>
    </row>
    <row r="737">
      <c r="E737" s="22"/>
    </row>
    <row r="738">
      <c r="E738" s="22"/>
    </row>
    <row r="739">
      <c r="E739" s="22"/>
    </row>
    <row r="740">
      <c r="E740" s="22"/>
    </row>
    <row r="741">
      <c r="E741" s="22"/>
    </row>
    <row r="742">
      <c r="E742" s="22"/>
    </row>
    <row r="743">
      <c r="E743" s="22"/>
    </row>
    <row r="744">
      <c r="E744" s="22"/>
    </row>
    <row r="745">
      <c r="E745" s="22"/>
    </row>
    <row r="746">
      <c r="E746" s="22"/>
    </row>
    <row r="747">
      <c r="E747" s="22"/>
    </row>
    <row r="748">
      <c r="E748" s="22"/>
    </row>
    <row r="749">
      <c r="E749" s="22"/>
    </row>
    <row r="750">
      <c r="E750" s="22"/>
    </row>
    <row r="751">
      <c r="E751" s="22"/>
    </row>
    <row r="752">
      <c r="E752" s="22"/>
    </row>
    <row r="753">
      <c r="E753" s="22"/>
    </row>
    <row r="754">
      <c r="E754" s="22"/>
    </row>
    <row r="755">
      <c r="E755" s="22"/>
    </row>
    <row r="756">
      <c r="E756" s="22"/>
    </row>
    <row r="757">
      <c r="E757" s="22"/>
    </row>
    <row r="758">
      <c r="E758" s="22"/>
    </row>
    <row r="759">
      <c r="E759" s="22"/>
    </row>
    <row r="760">
      <c r="E760" s="22"/>
    </row>
    <row r="761">
      <c r="E761" s="22"/>
    </row>
    <row r="762">
      <c r="E762" s="22"/>
    </row>
    <row r="763">
      <c r="E763" s="22"/>
    </row>
    <row r="764">
      <c r="E764" s="22"/>
    </row>
    <row r="765">
      <c r="E765" s="22"/>
    </row>
    <row r="766">
      <c r="E766" s="22"/>
    </row>
    <row r="767">
      <c r="E767" s="22"/>
    </row>
    <row r="768">
      <c r="E768" s="22"/>
    </row>
    <row r="769">
      <c r="E769" s="22"/>
    </row>
    <row r="770">
      <c r="E770" s="22"/>
    </row>
    <row r="771">
      <c r="E771" s="22"/>
    </row>
    <row r="772">
      <c r="E772" s="22"/>
    </row>
    <row r="773">
      <c r="E773" s="22"/>
    </row>
    <row r="774">
      <c r="E774" s="22"/>
    </row>
    <row r="775">
      <c r="E775" s="22"/>
    </row>
    <row r="776">
      <c r="E776" s="22"/>
    </row>
    <row r="777">
      <c r="E777" s="22"/>
    </row>
    <row r="778">
      <c r="E778" s="22"/>
    </row>
    <row r="779">
      <c r="E779" s="22"/>
    </row>
    <row r="780">
      <c r="E780" s="22"/>
    </row>
    <row r="781">
      <c r="E781" s="22"/>
    </row>
    <row r="782">
      <c r="E782" s="22"/>
    </row>
    <row r="783">
      <c r="E783" s="22"/>
    </row>
    <row r="784">
      <c r="E784" s="22"/>
    </row>
    <row r="785">
      <c r="E785" s="22"/>
    </row>
    <row r="786">
      <c r="E786" s="22"/>
    </row>
    <row r="787">
      <c r="E787" s="22"/>
    </row>
    <row r="788">
      <c r="E788" s="22"/>
    </row>
    <row r="789">
      <c r="E789" s="22"/>
    </row>
    <row r="790">
      <c r="E790" s="22"/>
    </row>
    <row r="791">
      <c r="E791" s="22"/>
    </row>
    <row r="792">
      <c r="E792" s="22"/>
    </row>
    <row r="793">
      <c r="E793" s="22"/>
    </row>
    <row r="794">
      <c r="E794" s="22"/>
    </row>
    <row r="795">
      <c r="E795" s="22"/>
    </row>
    <row r="796">
      <c r="E796" s="22"/>
    </row>
    <row r="797">
      <c r="E797" s="22"/>
    </row>
    <row r="798">
      <c r="E798" s="22"/>
    </row>
    <row r="799">
      <c r="E799" s="22"/>
    </row>
    <row r="800">
      <c r="E800" s="22"/>
    </row>
    <row r="801">
      <c r="E801" s="22"/>
    </row>
    <row r="802">
      <c r="E802" s="22"/>
    </row>
    <row r="803">
      <c r="E803" s="22"/>
    </row>
    <row r="804">
      <c r="E804" s="22"/>
    </row>
    <row r="805">
      <c r="E805" s="22"/>
    </row>
    <row r="806">
      <c r="E806" s="22"/>
    </row>
    <row r="807">
      <c r="E807" s="22"/>
    </row>
    <row r="808">
      <c r="E808" s="22"/>
    </row>
    <row r="809">
      <c r="E809" s="22"/>
    </row>
    <row r="810">
      <c r="E810" s="22"/>
    </row>
    <row r="811">
      <c r="E811" s="22"/>
    </row>
    <row r="812">
      <c r="E812" s="22"/>
    </row>
    <row r="813">
      <c r="E813" s="22"/>
    </row>
    <row r="814">
      <c r="E814" s="22"/>
    </row>
    <row r="815">
      <c r="E815" s="22"/>
    </row>
    <row r="816">
      <c r="E816" s="22"/>
    </row>
    <row r="817">
      <c r="E817" s="22"/>
    </row>
    <row r="818">
      <c r="E818" s="22"/>
    </row>
    <row r="819">
      <c r="E819" s="22"/>
    </row>
    <row r="820">
      <c r="E820" s="22"/>
    </row>
    <row r="821">
      <c r="E821" s="22"/>
    </row>
    <row r="822">
      <c r="E822" s="22"/>
    </row>
    <row r="823">
      <c r="E823" s="22"/>
    </row>
    <row r="824">
      <c r="E824" s="22"/>
    </row>
    <row r="825">
      <c r="E825" s="22"/>
    </row>
    <row r="826">
      <c r="E826" s="22"/>
    </row>
    <row r="827">
      <c r="E827" s="22"/>
    </row>
    <row r="828">
      <c r="E828" s="22"/>
    </row>
    <row r="829">
      <c r="E829" s="22"/>
    </row>
    <row r="830">
      <c r="E830" s="22"/>
    </row>
    <row r="831">
      <c r="E831" s="22"/>
    </row>
    <row r="832">
      <c r="E832" s="22"/>
    </row>
    <row r="833">
      <c r="E833" s="22"/>
    </row>
    <row r="834">
      <c r="E834" s="22"/>
    </row>
    <row r="835">
      <c r="E835" s="22"/>
    </row>
    <row r="836">
      <c r="E836" s="22"/>
    </row>
    <row r="837">
      <c r="E837" s="22"/>
    </row>
    <row r="838">
      <c r="E838" s="22"/>
    </row>
    <row r="839">
      <c r="E839" s="22"/>
    </row>
    <row r="840">
      <c r="E840" s="22"/>
    </row>
    <row r="841">
      <c r="E841" s="22"/>
    </row>
    <row r="842">
      <c r="E842" s="22"/>
    </row>
    <row r="843">
      <c r="E843" s="22"/>
    </row>
    <row r="844">
      <c r="E844" s="22"/>
    </row>
    <row r="845">
      <c r="E845" s="22"/>
    </row>
    <row r="846">
      <c r="E846" s="22"/>
    </row>
    <row r="847">
      <c r="E847" s="22"/>
    </row>
    <row r="848">
      <c r="E848" s="22"/>
    </row>
    <row r="849">
      <c r="E849" s="22"/>
    </row>
    <row r="850">
      <c r="E850" s="22"/>
    </row>
    <row r="851">
      <c r="E851" s="22"/>
    </row>
    <row r="852">
      <c r="E852" s="22"/>
    </row>
    <row r="853">
      <c r="E853" s="22"/>
    </row>
    <row r="854">
      <c r="E854" s="22"/>
    </row>
    <row r="855">
      <c r="E855" s="22"/>
    </row>
    <row r="856">
      <c r="E856" s="22"/>
    </row>
    <row r="857">
      <c r="E857" s="22"/>
    </row>
    <row r="858">
      <c r="E858" s="22"/>
    </row>
    <row r="859">
      <c r="E859" s="22"/>
    </row>
    <row r="860">
      <c r="E860" s="22"/>
    </row>
    <row r="861">
      <c r="E861" s="22"/>
    </row>
    <row r="862">
      <c r="E862" s="22"/>
    </row>
    <row r="863">
      <c r="E863" s="22"/>
    </row>
    <row r="864">
      <c r="E864" s="22"/>
    </row>
    <row r="865">
      <c r="E865" s="22"/>
    </row>
    <row r="866">
      <c r="E866" s="22"/>
    </row>
    <row r="867">
      <c r="E867" s="22"/>
    </row>
    <row r="868">
      <c r="E868" s="22"/>
    </row>
    <row r="869">
      <c r="E869" s="22"/>
    </row>
    <row r="870">
      <c r="E870" s="22"/>
    </row>
    <row r="871">
      <c r="E871" s="22"/>
    </row>
    <row r="872">
      <c r="E872" s="22"/>
    </row>
    <row r="873">
      <c r="E873" s="22"/>
    </row>
    <row r="874">
      <c r="E874" s="22"/>
    </row>
    <row r="875">
      <c r="E875" s="22"/>
    </row>
    <row r="876">
      <c r="E876" s="22"/>
    </row>
    <row r="877">
      <c r="E877" s="22"/>
    </row>
    <row r="878">
      <c r="E878" s="22"/>
    </row>
    <row r="879">
      <c r="E879" s="22"/>
    </row>
    <row r="880">
      <c r="E880" s="22"/>
    </row>
    <row r="881">
      <c r="E881" s="22"/>
    </row>
    <row r="882">
      <c r="E882" s="22"/>
    </row>
    <row r="883">
      <c r="E883" s="22"/>
    </row>
    <row r="884">
      <c r="E884" s="22"/>
    </row>
    <row r="885">
      <c r="E885" s="22"/>
    </row>
    <row r="886">
      <c r="E886" s="22"/>
    </row>
    <row r="887">
      <c r="E887" s="22"/>
    </row>
    <row r="888">
      <c r="E888" s="22"/>
    </row>
    <row r="889">
      <c r="E889" s="22"/>
    </row>
    <row r="890">
      <c r="E890" s="22"/>
    </row>
    <row r="891">
      <c r="E891" s="22"/>
    </row>
    <row r="892">
      <c r="E892" s="22"/>
    </row>
    <row r="893">
      <c r="E893" s="22"/>
    </row>
    <row r="894">
      <c r="E894" s="22"/>
    </row>
    <row r="895">
      <c r="E895" s="22"/>
    </row>
    <row r="896">
      <c r="E896" s="22"/>
    </row>
    <row r="897">
      <c r="E897" s="22"/>
    </row>
    <row r="898">
      <c r="E898" s="22"/>
    </row>
    <row r="899">
      <c r="E899" s="22"/>
    </row>
    <row r="900">
      <c r="E900" s="22"/>
    </row>
    <row r="901">
      <c r="E901" s="22"/>
    </row>
    <row r="902">
      <c r="E902" s="22"/>
    </row>
    <row r="903">
      <c r="E903" s="22"/>
    </row>
    <row r="904">
      <c r="E904" s="22"/>
    </row>
    <row r="905">
      <c r="E905" s="22"/>
    </row>
    <row r="906">
      <c r="E906" s="22"/>
    </row>
    <row r="907">
      <c r="E907" s="22"/>
    </row>
    <row r="908">
      <c r="E908" s="22"/>
    </row>
    <row r="909">
      <c r="E909" s="22"/>
    </row>
    <row r="910">
      <c r="E910" s="22"/>
    </row>
    <row r="911">
      <c r="E911" s="22"/>
    </row>
    <row r="912">
      <c r="E912" s="22"/>
    </row>
    <row r="913">
      <c r="E913" s="22"/>
    </row>
    <row r="914">
      <c r="E914" s="22"/>
    </row>
    <row r="915">
      <c r="E915" s="22"/>
    </row>
    <row r="916">
      <c r="E916" s="22"/>
    </row>
    <row r="917">
      <c r="E917" s="22"/>
    </row>
    <row r="918">
      <c r="E918" s="22"/>
    </row>
    <row r="919">
      <c r="E919" s="22"/>
    </row>
    <row r="920">
      <c r="E920" s="22"/>
    </row>
    <row r="921">
      <c r="E921" s="22"/>
    </row>
    <row r="922">
      <c r="E922" s="22"/>
    </row>
    <row r="923">
      <c r="E923" s="22"/>
    </row>
    <row r="924">
      <c r="E924" s="22"/>
    </row>
    <row r="925">
      <c r="E925" s="22"/>
    </row>
    <row r="926">
      <c r="E926" s="22"/>
    </row>
    <row r="927">
      <c r="E927" s="22"/>
    </row>
    <row r="928">
      <c r="E928" s="22"/>
    </row>
    <row r="929">
      <c r="E929" s="22"/>
    </row>
    <row r="930">
      <c r="E930" s="22"/>
    </row>
    <row r="931">
      <c r="E931" s="22"/>
    </row>
    <row r="932">
      <c r="E932" s="22"/>
    </row>
    <row r="933">
      <c r="E933" s="22"/>
    </row>
    <row r="934">
      <c r="E934" s="22"/>
    </row>
    <row r="935">
      <c r="E935" s="22"/>
    </row>
    <row r="936">
      <c r="E936" s="22"/>
    </row>
    <row r="937">
      <c r="E937" s="22"/>
    </row>
    <row r="938">
      <c r="E938" s="22"/>
    </row>
    <row r="939">
      <c r="E939" s="22"/>
    </row>
    <row r="940">
      <c r="E940" s="22"/>
    </row>
    <row r="941">
      <c r="E941" s="22"/>
    </row>
    <row r="942">
      <c r="E942" s="22"/>
    </row>
    <row r="943">
      <c r="E943" s="22"/>
    </row>
    <row r="944">
      <c r="E944" s="22"/>
    </row>
    <row r="945">
      <c r="E945" s="22"/>
    </row>
    <row r="946">
      <c r="E946" s="22"/>
    </row>
    <row r="947">
      <c r="E947" s="22"/>
    </row>
    <row r="948">
      <c r="E948" s="22"/>
    </row>
    <row r="949">
      <c r="E949" s="22"/>
    </row>
    <row r="950">
      <c r="E950" s="22"/>
    </row>
    <row r="951">
      <c r="E951" s="22"/>
    </row>
    <row r="952">
      <c r="E952" s="22"/>
    </row>
    <row r="953">
      <c r="E953" s="22"/>
    </row>
    <row r="954">
      <c r="E954" s="22"/>
    </row>
    <row r="955">
      <c r="E955" s="22"/>
    </row>
    <row r="956">
      <c r="E956" s="22"/>
    </row>
    <row r="957">
      <c r="E957" s="22"/>
    </row>
    <row r="958">
      <c r="E958" s="22"/>
    </row>
    <row r="959">
      <c r="E959" s="22"/>
    </row>
    <row r="960">
      <c r="E960" s="22"/>
    </row>
    <row r="961">
      <c r="E961" s="22"/>
    </row>
    <row r="962">
      <c r="E962" s="22"/>
    </row>
    <row r="963">
      <c r="E963" s="22"/>
    </row>
    <row r="964">
      <c r="E964" s="22"/>
    </row>
    <row r="965">
      <c r="E965" s="22"/>
    </row>
    <row r="966">
      <c r="E966" s="22"/>
    </row>
    <row r="967">
      <c r="E967" s="22"/>
    </row>
    <row r="968">
      <c r="E968" s="22"/>
    </row>
    <row r="969">
      <c r="E969" s="22"/>
    </row>
    <row r="970">
      <c r="E970" s="22"/>
    </row>
    <row r="971">
      <c r="E971" s="22"/>
    </row>
    <row r="972">
      <c r="E972" s="22"/>
    </row>
    <row r="973">
      <c r="E973" s="22"/>
    </row>
    <row r="974">
      <c r="E974" s="22"/>
    </row>
    <row r="975">
      <c r="E975" s="22"/>
    </row>
    <row r="976">
      <c r="E976" s="22"/>
    </row>
    <row r="977">
      <c r="E977" s="22"/>
    </row>
    <row r="978">
      <c r="E978" s="22"/>
    </row>
    <row r="979">
      <c r="E979" s="22"/>
    </row>
    <row r="980">
      <c r="E980" s="22"/>
    </row>
    <row r="981">
      <c r="E981" s="22"/>
    </row>
    <row r="982">
      <c r="E982" s="22"/>
    </row>
    <row r="983">
      <c r="E983" s="22"/>
    </row>
    <row r="984">
      <c r="E984" s="22"/>
    </row>
    <row r="985">
      <c r="E985" s="22"/>
    </row>
    <row r="986">
      <c r="E986" s="22"/>
    </row>
    <row r="987">
      <c r="E987" s="22"/>
    </row>
    <row r="988">
      <c r="E988" s="22"/>
    </row>
    <row r="989">
      <c r="E989" s="22"/>
    </row>
    <row r="990">
      <c r="E990" s="22"/>
    </row>
    <row r="991">
      <c r="E991" s="22"/>
    </row>
    <row r="992">
      <c r="E992" s="22"/>
    </row>
    <row r="993">
      <c r="E993" s="22"/>
    </row>
    <row r="994">
      <c r="E994" s="22"/>
    </row>
    <row r="995">
      <c r="E995" s="22"/>
    </row>
    <row r="996">
      <c r="E996" s="22"/>
    </row>
    <row r="997">
      <c r="E997" s="22"/>
    </row>
    <row r="998">
      <c r="E998" s="22"/>
    </row>
    <row r="999">
      <c r="E999" s="22"/>
    </row>
    <row r="1000">
      <c r="E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596.13</v>
      </c>
      <c r="D1" s="1" t="s">
        <v>2</v>
      </c>
      <c r="E1" s="3">
        <f>SUM(E3:E62)</f>
        <v>158.85</v>
      </c>
      <c r="G1" s="1" t="s">
        <v>4</v>
      </c>
      <c r="H1" s="3">
        <f>SUM(H3:H62)</f>
        <v>0</v>
      </c>
      <c r="J1" s="1" t="s">
        <v>8</v>
      </c>
      <c r="K1" s="3">
        <f>SUM(K3:K62)</f>
        <v>3003.18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20" t="s">
        <v>21</v>
      </c>
      <c r="G2" s="7" t="s">
        <v>20</v>
      </c>
      <c r="H2" s="8" t="s">
        <v>21</v>
      </c>
      <c r="J2" s="7" t="s">
        <v>20</v>
      </c>
      <c r="K2" s="20" t="s">
        <v>21</v>
      </c>
      <c r="M2" s="7" t="s">
        <v>20</v>
      </c>
      <c r="N2" s="20" t="s">
        <v>21</v>
      </c>
    </row>
    <row r="3">
      <c r="A3" s="11" t="s">
        <v>23</v>
      </c>
      <c r="B3" s="12">
        <v>2.88</v>
      </c>
      <c r="D3" s="11" t="s">
        <v>24</v>
      </c>
      <c r="E3" s="12">
        <v>77.46</v>
      </c>
      <c r="G3" s="14"/>
      <c r="H3" s="15"/>
      <c r="J3" s="11" t="s">
        <v>58</v>
      </c>
      <c r="K3" s="12">
        <v>22.09</v>
      </c>
      <c r="M3" s="11"/>
      <c r="N3" s="12"/>
    </row>
    <row r="4">
      <c r="A4" s="11" t="s">
        <v>32</v>
      </c>
      <c r="B4" s="12">
        <f>97.14/2</f>
        <v>48.57</v>
      </c>
      <c r="D4" s="11" t="s">
        <v>28</v>
      </c>
      <c r="E4" s="12">
        <v>1.3</v>
      </c>
      <c r="G4" s="14"/>
      <c r="H4" s="15"/>
      <c r="J4" s="11" t="s">
        <v>62</v>
      </c>
      <c r="K4" s="12">
        <v>12.0</v>
      </c>
      <c r="M4" s="14"/>
      <c r="N4" s="23"/>
    </row>
    <row r="5">
      <c r="A5" s="11" t="s">
        <v>65</v>
      </c>
      <c r="B5" s="12">
        <v>69.04</v>
      </c>
      <c r="D5" s="11" t="s">
        <v>28</v>
      </c>
      <c r="E5" s="12">
        <v>2.05</v>
      </c>
      <c r="G5" s="14"/>
      <c r="H5" s="15"/>
      <c r="J5" s="11" t="s">
        <v>66</v>
      </c>
      <c r="K5" s="12">
        <v>33.06</v>
      </c>
      <c r="M5" s="14"/>
      <c r="N5" s="23"/>
    </row>
    <row r="6">
      <c r="A6" s="11" t="s">
        <v>68</v>
      </c>
      <c r="B6" s="12">
        <v>3.79</v>
      </c>
      <c r="D6" s="11" t="s">
        <v>69</v>
      </c>
      <c r="E6" s="12">
        <v>15.99</v>
      </c>
      <c r="G6" s="14"/>
      <c r="H6" s="15"/>
      <c r="J6" s="11" t="s">
        <v>26</v>
      </c>
      <c r="K6" s="12">
        <v>50.0</v>
      </c>
      <c r="M6" s="14"/>
      <c r="N6" s="23"/>
    </row>
    <row r="7">
      <c r="A7" s="11" t="s">
        <v>23</v>
      </c>
      <c r="B7" s="12">
        <v>5.03</v>
      </c>
      <c r="D7" s="11" t="s">
        <v>70</v>
      </c>
      <c r="E7" s="12">
        <v>6.8</v>
      </c>
      <c r="G7" s="14"/>
      <c r="H7" s="15"/>
      <c r="J7" s="11" t="s">
        <v>71</v>
      </c>
      <c r="K7" s="12">
        <v>5.99</v>
      </c>
      <c r="M7" s="14"/>
      <c r="N7" s="23"/>
    </row>
    <row r="8">
      <c r="A8" s="11" t="s">
        <v>72</v>
      </c>
      <c r="B8" s="12">
        <v>13.98</v>
      </c>
      <c r="D8" s="11" t="s">
        <v>24</v>
      </c>
      <c r="E8" s="12">
        <v>55.25</v>
      </c>
      <c r="G8" s="14"/>
      <c r="H8" s="15"/>
      <c r="J8" s="11" t="s">
        <v>29</v>
      </c>
      <c r="K8" s="12">
        <v>4.5</v>
      </c>
      <c r="M8" s="14"/>
      <c r="N8" s="23"/>
    </row>
    <row r="9">
      <c r="A9" s="11" t="s">
        <v>73</v>
      </c>
      <c r="B9" s="12">
        <v>27.87</v>
      </c>
      <c r="D9" s="14"/>
      <c r="E9" s="23"/>
      <c r="G9" s="14"/>
      <c r="H9" s="15"/>
      <c r="J9" s="11" t="s">
        <v>74</v>
      </c>
      <c r="K9" s="12">
        <v>1000.0</v>
      </c>
      <c r="M9" s="14"/>
      <c r="N9" s="23"/>
    </row>
    <row r="10">
      <c r="A10" s="11" t="s">
        <v>23</v>
      </c>
      <c r="B10" s="12">
        <v>14.77</v>
      </c>
      <c r="D10" s="14"/>
      <c r="E10" s="23"/>
      <c r="G10" s="14"/>
      <c r="H10" s="15"/>
      <c r="J10" s="11" t="s">
        <v>75</v>
      </c>
      <c r="K10" s="12">
        <v>10.0</v>
      </c>
      <c r="M10" s="14"/>
      <c r="N10" s="23"/>
    </row>
    <row r="11">
      <c r="A11" s="11" t="s">
        <v>32</v>
      </c>
      <c r="B11" s="12">
        <v>21.61</v>
      </c>
      <c r="D11" s="14"/>
      <c r="E11" s="23"/>
      <c r="G11" s="14"/>
      <c r="H11" s="15"/>
      <c r="J11" s="11" t="s">
        <v>39</v>
      </c>
      <c r="K11" s="12">
        <v>20.0</v>
      </c>
      <c r="M11" s="14"/>
      <c r="N11" s="23"/>
    </row>
    <row r="12">
      <c r="A12" s="11" t="s">
        <v>30</v>
      </c>
      <c r="B12" s="12">
        <v>6.88</v>
      </c>
      <c r="D12" s="14"/>
      <c r="E12" s="23"/>
      <c r="G12" s="14"/>
      <c r="H12" s="15"/>
      <c r="J12" s="11" t="s">
        <v>29</v>
      </c>
      <c r="K12" s="12">
        <v>4.5</v>
      </c>
      <c r="M12" s="14"/>
      <c r="N12" s="23"/>
    </row>
    <row r="13">
      <c r="A13" s="11" t="s">
        <v>73</v>
      </c>
      <c r="B13" s="12">
        <v>25.0</v>
      </c>
      <c r="D13" s="14"/>
      <c r="E13" s="23"/>
      <c r="G13" s="14"/>
      <c r="H13" s="15"/>
      <c r="J13" s="11" t="s">
        <v>78</v>
      </c>
      <c r="K13" s="12">
        <v>14.39</v>
      </c>
      <c r="M13" s="14"/>
      <c r="N13" s="23"/>
    </row>
    <row r="14">
      <c r="A14" s="11" t="s">
        <v>32</v>
      </c>
      <c r="B14" s="12">
        <f>85.86 / 2</f>
        <v>42.93</v>
      </c>
      <c r="D14" s="14"/>
      <c r="E14" s="23"/>
      <c r="G14" s="14"/>
      <c r="H14" s="15"/>
      <c r="J14" s="11" t="s">
        <v>82</v>
      </c>
      <c r="K14" s="12">
        <v>420.2</v>
      </c>
      <c r="M14" s="14"/>
      <c r="N14" s="23"/>
    </row>
    <row r="15">
      <c r="A15" s="11" t="s">
        <v>23</v>
      </c>
      <c r="B15" s="12">
        <v>8.07</v>
      </c>
      <c r="D15" s="14"/>
      <c r="E15" s="23"/>
      <c r="G15" s="14"/>
      <c r="H15" s="15"/>
      <c r="J15" s="11" t="s">
        <v>29</v>
      </c>
      <c r="K15" s="12">
        <v>4.5</v>
      </c>
      <c r="M15" s="14"/>
      <c r="N15" s="23"/>
    </row>
    <row r="16">
      <c r="A16" s="11" t="s">
        <v>23</v>
      </c>
      <c r="B16" s="12">
        <v>4.29</v>
      </c>
      <c r="D16" s="14"/>
      <c r="E16" s="23"/>
      <c r="G16" s="14"/>
      <c r="H16" s="15"/>
      <c r="J16" s="11" t="s">
        <v>83</v>
      </c>
      <c r="K16" s="12">
        <v>22.95</v>
      </c>
      <c r="M16" s="14"/>
      <c r="N16" s="23"/>
    </row>
    <row r="17">
      <c r="A17" s="11" t="s">
        <v>73</v>
      </c>
      <c r="B17" s="12">
        <v>15.49</v>
      </c>
      <c r="D17" s="14"/>
      <c r="E17" s="23"/>
      <c r="G17" s="14"/>
      <c r="H17" s="15"/>
      <c r="J17" s="11" t="s">
        <v>84</v>
      </c>
      <c r="K17" s="12">
        <v>29.99</v>
      </c>
      <c r="M17" s="14"/>
      <c r="N17" s="23"/>
    </row>
    <row r="18">
      <c r="A18" s="11" t="s">
        <v>32</v>
      </c>
      <c r="B18" s="12">
        <v>1.29</v>
      </c>
      <c r="D18" s="14"/>
      <c r="E18" s="23"/>
      <c r="G18" s="14"/>
      <c r="H18" s="15"/>
      <c r="J18" s="11" t="s">
        <v>85</v>
      </c>
      <c r="K18" s="12">
        <v>66.75</v>
      </c>
      <c r="M18" s="14"/>
      <c r="N18" s="23"/>
    </row>
    <row r="19">
      <c r="A19" s="11" t="s">
        <v>23</v>
      </c>
      <c r="B19" s="12">
        <v>12.4</v>
      </c>
      <c r="D19" s="14"/>
      <c r="E19" s="23"/>
      <c r="G19" s="14"/>
      <c r="H19" s="15"/>
      <c r="J19" s="11" t="s">
        <v>87</v>
      </c>
      <c r="K19" s="12">
        <v>800.0</v>
      </c>
      <c r="M19" s="14"/>
      <c r="N19" s="23"/>
    </row>
    <row r="20">
      <c r="A20" s="11" t="s">
        <v>32</v>
      </c>
      <c r="B20" s="12">
        <v>0.42</v>
      </c>
      <c r="D20" s="14"/>
      <c r="E20" s="23"/>
      <c r="G20" s="14"/>
      <c r="H20" s="15"/>
      <c r="J20" s="11" t="s">
        <v>66</v>
      </c>
      <c r="K20" s="12">
        <v>63.65</v>
      </c>
      <c r="M20" s="14"/>
      <c r="N20" s="23"/>
    </row>
    <row r="21">
      <c r="A21" s="11" t="s">
        <v>73</v>
      </c>
      <c r="B21" s="12">
        <v>15.49</v>
      </c>
      <c r="D21" s="14"/>
      <c r="E21" s="23"/>
      <c r="G21" s="14"/>
      <c r="H21" s="15"/>
      <c r="J21" s="11" t="s">
        <v>90</v>
      </c>
      <c r="K21" s="12">
        <v>26.95</v>
      </c>
      <c r="M21" s="14"/>
      <c r="N21" s="23"/>
    </row>
    <row r="22">
      <c r="A22" s="11" t="s">
        <v>30</v>
      </c>
      <c r="B22" s="12">
        <v>9.5</v>
      </c>
      <c r="D22" s="14"/>
      <c r="E22" s="23"/>
      <c r="G22" s="14"/>
      <c r="H22" s="15"/>
      <c r="J22" s="11" t="s">
        <v>91</v>
      </c>
      <c r="K22" s="12">
        <v>258.24</v>
      </c>
      <c r="M22" s="14"/>
      <c r="N22" s="23"/>
    </row>
    <row r="23">
      <c r="A23" s="11" t="s">
        <v>23</v>
      </c>
      <c r="B23" s="12">
        <v>9.15</v>
      </c>
      <c r="D23" s="14"/>
      <c r="E23" s="23"/>
      <c r="G23" s="14"/>
      <c r="H23" s="15"/>
      <c r="J23" s="11" t="s">
        <v>44</v>
      </c>
      <c r="K23" s="12">
        <v>4.0</v>
      </c>
      <c r="M23" s="14"/>
      <c r="N23" s="23"/>
    </row>
    <row r="24">
      <c r="A24" s="11" t="s">
        <v>93</v>
      </c>
      <c r="B24" s="12">
        <v>2.97</v>
      </c>
      <c r="D24" s="14"/>
      <c r="E24" s="23"/>
      <c r="G24" s="14"/>
      <c r="H24" s="15"/>
      <c r="J24" s="11" t="s">
        <v>35</v>
      </c>
      <c r="K24" s="12">
        <v>20.0</v>
      </c>
      <c r="M24" s="14"/>
      <c r="N24" s="23"/>
    </row>
    <row r="25">
      <c r="A25" s="11" t="s">
        <v>94</v>
      </c>
      <c r="B25" s="12">
        <v>2.5</v>
      </c>
      <c r="D25" s="14"/>
      <c r="E25" s="23"/>
      <c r="G25" s="14"/>
      <c r="H25" s="15"/>
      <c r="J25" s="11" t="s">
        <v>48</v>
      </c>
      <c r="K25" s="12">
        <v>13.0</v>
      </c>
      <c r="M25" s="14"/>
      <c r="N25" s="23"/>
    </row>
    <row r="26">
      <c r="A26" s="11" t="s">
        <v>30</v>
      </c>
      <c r="B26" s="12">
        <v>3.15</v>
      </c>
      <c r="D26" s="14"/>
      <c r="E26" s="23"/>
      <c r="G26" s="14"/>
      <c r="H26" s="15"/>
      <c r="J26" s="11" t="s">
        <v>95</v>
      </c>
      <c r="K26" s="12">
        <v>46.42</v>
      </c>
      <c r="M26" s="14"/>
      <c r="N26" s="23"/>
    </row>
    <row r="27">
      <c r="A27" s="11" t="s">
        <v>73</v>
      </c>
      <c r="B27" s="12">
        <v>23.42</v>
      </c>
      <c r="D27" s="14"/>
      <c r="E27" s="23"/>
      <c r="G27" s="14"/>
      <c r="H27" s="15"/>
      <c r="J27" s="11" t="s">
        <v>26</v>
      </c>
      <c r="K27" s="12">
        <v>50.0</v>
      </c>
      <c r="M27" s="14"/>
      <c r="N27" s="23"/>
    </row>
    <row r="28">
      <c r="A28" s="11" t="s">
        <v>23</v>
      </c>
      <c r="B28" s="12">
        <v>10.59</v>
      </c>
      <c r="D28" s="14"/>
      <c r="E28" s="23"/>
      <c r="G28" s="14"/>
      <c r="H28" s="15"/>
      <c r="J28" s="14"/>
      <c r="K28" s="23"/>
      <c r="M28" s="14"/>
      <c r="N28" s="23"/>
    </row>
    <row r="29">
      <c r="A29" s="11" t="s">
        <v>23</v>
      </c>
      <c r="B29" s="12">
        <v>6.87</v>
      </c>
      <c r="D29" s="14"/>
      <c r="E29" s="23"/>
      <c r="G29" s="14"/>
      <c r="H29" s="15"/>
      <c r="J29" s="14"/>
      <c r="K29" s="23"/>
      <c r="M29" s="14"/>
      <c r="N29" s="23"/>
    </row>
    <row r="30">
      <c r="A30" s="11" t="s">
        <v>50</v>
      </c>
      <c r="B30" s="12">
        <v>16.0</v>
      </c>
      <c r="D30" s="14"/>
      <c r="E30" s="23"/>
      <c r="G30" s="14"/>
      <c r="H30" s="15"/>
      <c r="J30" s="14"/>
      <c r="K30" s="23"/>
      <c r="M30" s="14"/>
      <c r="N30" s="23"/>
    </row>
    <row r="31">
      <c r="A31" s="11" t="s">
        <v>97</v>
      </c>
      <c r="B31" s="12">
        <v>1.68</v>
      </c>
      <c r="D31" s="14"/>
      <c r="E31" s="23"/>
      <c r="G31" s="14"/>
      <c r="H31" s="15"/>
      <c r="J31" s="14"/>
      <c r="K31" s="23"/>
      <c r="M31" s="14"/>
      <c r="N31" s="23"/>
    </row>
    <row r="32">
      <c r="A32" s="11" t="s">
        <v>23</v>
      </c>
      <c r="B32" s="12">
        <v>1.56</v>
      </c>
      <c r="D32" s="14"/>
      <c r="E32" s="23"/>
      <c r="G32" s="14"/>
      <c r="H32" s="15"/>
      <c r="J32" s="14"/>
      <c r="K32" s="23"/>
      <c r="M32" s="14"/>
      <c r="N32" s="23"/>
    </row>
    <row r="33">
      <c r="A33" s="11" t="s">
        <v>23</v>
      </c>
      <c r="B33" s="12">
        <v>6.71</v>
      </c>
      <c r="D33" s="14"/>
      <c r="E33" s="23"/>
      <c r="G33" s="14"/>
      <c r="H33" s="15"/>
      <c r="J33" s="14"/>
      <c r="K33" s="23"/>
      <c r="M33" s="14"/>
      <c r="N33" s="23"/>
    </row>
    <row r="34">
      <c r="A34" s="11" t="s">
        <v>73</v>
      </c>
      <c r="B34" s="12">
        <v>32.48</v>
      </c>
      <c r="D34" s="14"/>
      <c r="E34" s="23"/>
      <c r="G34" s="14"/>
      <c r="H34" s="15"/>
      <c r="J34" s="14"/>
      <c r="K34" s="23"/>
      <c r="M34" s="14"/>
      <c r="N34" s="23"/>
    </row>
    <row r="35">
      <c r="A35" s="11" t="s">
        <v>98</v>
      </c>
      <c r="B35" s="12">
        <v>12.3</v>
      </c>
      <c r="D35" s="14"/>
      <c r="E35" s="23"/>
      <c r="G35" s="14"/>
      <c r="H35" s="15"/>
      <c r="J35" s="14"/>
      <c r="K35" s="23"/>
      <c r="M35" s="14"/>
      <c r="N35" s="23"/>
    </row>
    <row r="36">
      <c r="A36" s="11" t="s">
        <v>65</v>
      </c>
      <c r="B36" s="12">
        <v>54.18</v>
      </c>
      <c r="D36" s="14"/>
      <c r="E36" s="23"/>
      <c r="G36" s="14"/>
      <c r="H36" s="15"/>
      <c r="J36" s="14"/>
      <c r="K36" s="23"/>
      <c r="M36" s="14"/>
      <c r="N36" s="23"/>
    </row>
    <row r="37">
      <c r="A37" s="11" t="s">
        <v>68</v>
      </c>
      <c r="B37" s="12">
        <v>8.53</v>
      </c>
      <c r="D37" s="14"/>
      <c r="E37" s="23"/>
      <c r="G37" s="14"/>
      <c r="H37" s="15"/>
      <c r="J37" s="14"/>
      <c r="K37" s="23"/>
      <c r="M37" s="14"/>
      <c r="N37" s="23"/>
    </row>
    <row r="38">
      <c r="A38" s="11" t="s">
        <v>99</v>
      </c>
      <c r="B38" s="12">
        <v>48.75</v>
      </c>
      <c r="D38" s="14"/>
      <c r="E38" s="23"/>
      <c r="G38" s="14"/>
      <c r="H38" s="15"/>
      <c r="J38" s="14"/>
      <c r="K38" s="23"/>
      <c r="M38" s="14"/>
      <c r="N38" s="23"/>
    </row>
    <row r="39">
      <c r="A39" s="11" t="s">
        <v>30</v>
      </c>
      <c r="B39" s="12">
        <v>5.99</v>
      </c>
      <c r="D39" s="14"/>
      <c r="E39" s="23"/>
      <c r="G39" s="14"/>
      <c r="H39" s="15"/>
      <c r="J39" s="14"/>
      <c r="K39" s="23"/>
      <c r="M39" s="14"/>
      <c r="N39" s="23"/>
    </row>
    <row r="40">
      <c r="A40" s="11"/>
      <c r="B40" s="37"/>
      <c r="D40" s="14"/>
      <c r="E40" s="23"/>
      <c r="G40" s="14"/>
      <c r="H40" s="15"/>
      <c r="J40" s="14"/>
      <c r="K40" s="23"/>
      <c r="M40" s="14"/>
      <c r="N40" s="23"/>
    </row>
    <row r="41">
      <c r="A41" s="11"/>
      <c r="B41" s="12"/>
      <c r="D41" s="14"/>
      <c r="E41" s="23"/>
      <c r="G41" s="14"/>
      <c r="H41" s="15"/>
      <c r="J41" s="14"/>
      <c r="K41" s="23"/>
      <c r="M41" s="14"/>
      <c r="N41" s="23"/>
    </row>
    <row r="42">
      <c r="A42" s="11"/>
      <c r="B42" s="12"/>
      <c r="D42" s="14"/>
      <c r="E42" s="23"/>
      <c r="G42" s="14"/>
      <c r="H42" s="15"/>
      <c r="J42" s="14"/>
      <c r="K42" s="23"/>
      <c r="M42" s="14"/>
      <c r="N42" s="23"/>
    </row>
    <row r="43">
      <c r="A43" s="14"/>
      <c r="B43" s="23"/>
      <c r="D43" s="14"/>
      <c r="E43" s="23"/>
      <c r="G43" s="14"/>
      <c r="H43" s="15"/>
      <c r="J43" s="14"/>
      <c r="K43" s="23"/>
      <c r="M43" s="14"/>
      <c r="N43" s="23"/>
    </row>
    <row r="44">
      <c r="A44" s="14"/>
      <c r="B44" s="23"/>
      <c r="D44" s="14"/>
      <c r="E44" s="23"/>
      <c r="G44" s="14"/>
      <c r="H44" s="15"/>
      <c r="J44" s="14"/>
      <c r="K44" s="23"/>
      <c r="M44" s="14"/>
      <c r="N44" s="23"/>
    </row>
    <row r="45">
      <c r="A45" s="14"/>
      <c r="B45" s="23"/>
      <c r="D45" s="14"/>
      <c r="E45" s="23"/>
      <c r="G45" s="14"/>
      <c r="H45" s="15"/>
      <c r="J45" s="14"/>
      <c r="K45" s="23"/>
      <c r="M45" s="14"/>
      <c r="N45" s="23"/>
    </row>
    <row r="46">
      <c r="A46" s="14"/>
      <c r="B46" s="23"/>
      <c r="D46" s="14"/>
      <c r="E46" s="23"/>
      <c r="G46" s="14"/>
      <c r="H46" s="15"/>
      <c r="J46" s="14"/>
      <c r="K46" s="23"/>
      <c r="M46" s="14"/>
      <c r="N46" s="23"/>
    </row>
    <row r="47">
      <c r="A47" s="14"/>
      <c r="B47" s="23"/>
      <c r="D47" s="14"/>
      <c r="E47" s="23"/>
      <c r="G47" s="14"/>
      <c r="H47" s="15"/>
      <c r="J47" s="14"/>
      <c r="K47" s="23"/>
      <c r="M47" s="14"/>
      <c r="N47" s="23"/>
    </row>
    <row r="48">
      <c r="A48" s="14"/>
      <c r="B48" s="23"/>
      <c r="D48" s="14"/>
      <c r="E48" s="23"/>
      <c r="G48" s="14"/>
      <c r="H48" s="15"/>
      <c r="J48" s="14"/>
      <c r="K48" s="23"/>
      <c r="M48" s="14"/>
      <c r="N48" s="23"/>
    </row>
    <row r="49">
      <c r="A49" s="14"/>
      <c r="B49" s="23"/>
      <c r="D49" s="14"/>
      <c r="E49" s="23"/>
      <c r="G49" s="14"/>
      <c r="H49" s="15"/>
      <c r="J49" s="14"/>
      <c r="K49" s="23"/>
      <c r="M49" s="14"/>
      <c r="N49" s="23"/>
    </row>
    <row r="50">
      <c r="A50" s="14"/>
      <c r="B50" s="23"/>
      <c r="D50" s="14"/>
      <c r="E50" s="23"/>
      <c r="G50" s="14"/>
      <c r="H50" s="15"/>
      <c r="J50" s="14"/>
      <c r="K50" s="23"/>
      <c r="M50" s="14"/>
      <c r="N50" s="23"/>
    </row>
    <row r="51">
      <c r="A51" s="14"/>
      <c r="B51" s="23"/>
      <c r="D51" s="14"/>
      <c r="E51" s="23"/>
      <c r="G51" s="14"/>
      <c r="H51" s="15"/>
      <c r="J51" s="14"/>
      <c r="K51" s="23"/>
      <c r="M51" s="14"/>
      <c r="N51" s="23"/>
    </row>
    <row r="52">
      <c r="A52" s="14"/>
      <c r="B52" s="23"/>
      <c r="D52" s="14"/>
      <c r="E52" s="23"/>
      <c r="G52" s="14"/>
      <c r="H52" s="15"/>
      <c r="J52" s="14"/>
      <c r="K52" s="23"/>
      <c r="M52" s="14"/>
      <c r="N52" s="23"/>
    </row>
    <row r="53">
      <c r="A53" s="14"/>
      <c r="B53" s="23"/>
      <c r="D53" s="14"/>
      <c r="E53" s="23"/>
      <c r="G53" s="14"/>
      <c r="H53" s="15"/>
      <c r="J53" s="14"/>
      <c r="K53" s="23"/>
      <c r="M53" s="14"/>
      <c r="N53" s="23"/>
    </row>
    <row r="54">
      <c r="A54" s="14"/>
      <c r="B54" s="23"/>
      <c r="D54" s="14"/>
      <c r="E54" s="23"/>
      <c r="G54" s="14"/>
      <c r="H54" s="15"/>
      <c r="J54" s="14"/>
      <c r="K54" s="23"/>
      <c r="M54" s="14"/>
      <c r="N54" s="23"/>
    </row>
    <row r="55">
      <c r="A55" s="14"/>
      <c r="B55" s="23"/>
      <c r="D55" s="14"/>
      <c r="E55" s="23"/>
      <c r="G55" s="14"/>
      <c r="H55" s="15"/>
      <c r="J55" s="14"/>
      <c r="K55" s="23"/>
      <c r="M55" s="14"/>
      <c r="N55" s="23"/>
    </row>
    <row r="56">
      <c r="A56" s="14"/>
      <c r="B56" s="23"/>
      <c r="D56" s="14"/>
      <c r="E56" s="23"/>
      <c r="G56" s="14"/>
      <c r="H56" s="15"/>
      <c r="J56" s="14"/>
      <c r="K56" s="23"/>
      <c r="M56" s="14"/>
      <c r="N56" s="23"/>
    </row>
    <row r="57">
      <c r="A57" s="14"/>
      <c r="B57" s="23"/>
      <c r="D57" s="14"/>
      <c r="E57" s="23"/>
      <c r="G57" s="14"/>
      <c r="H57" s="15"/>
      <c r="J57" s="14"/>
      <c r="K57" s="23"/>
      <c r="M57" s="14"/>
      <c r="N57" s="23"/>
    </row>
    <row r="58">
      <c r="A58" s="14"/>
      <c r="B58" s="23"/>
      <c r="D58" s="14"/>
      <c r="E58" s="23"/>
      <c r="G58" s="14"/>
      <c r="H58" s="15"/>
      <c r="J58" s="14"/>
      <c r="K58" s="23"/>
      <c r="M58" s="14"/>
      <c r="N58" s="23"/>
    </row>
    <row r="59">
      <c r="A59" s="14"/>
      <c r="B59" s="23"/>
      <c r="D59" s="14"/>
      <c r="E59" s="23"/>
      <c r="G59" s="14"/>
      <c r="H59" s="15"/>
      <c r="J59" s="14"/>
      <c r="K59" s="23"/>
      <c r="M59" s="14"/>
      <c r="N59" s="23"/>
    </row>
    <row r="60">
      <c r="A60" s="14"/>
      <c r="B60" s="23"/>
      <c r="D60" s="14"/>
      <c r="E60" s="23"/>
      <c r="G60" s="14"/>
      <c r="H60" s="15"/>
      <c r="J60" s="14"/>
      <c r="K60" s="23"/>
      <c r="M60" s="14"/>
      <c r="N60" s="23"/>
    </row>
    <row r="61">
      <c r="A61" s="14"/>
      <c r="B61" s="23"/>
      <c r="D61" s="14"/>
      <c r="E61" s="23"/>
      <c r="G61" s="14"/>
      <c r="H61" s="15"/>
      <c r="J61" s="14"/>
      <c r="K61" s="23"/>
      <c r="M61" s="14"/>
      <c r="N61" s="23"/>
    </row>
    <row r="62">
      <c r="A62" s="33"/>
      <c r="B62" s="34"/>
      <c r="D62" s="33"/>
      <c r="E62" s="34"/>
      <c r="G62" s="33"/>
      <c r="H62" s="35"/>
      <c r="J62" s="33"/>
      <c r="K62" s="34"/>
      <c r="M62" s="33"/>
      <c r="N62" s="34"/>
    </row>
    <row r="63">
      <c r="E63" s="22"/>
      <c r="K63" s="22"/>
      <c r="N63" s="22"/>
    </row>
    <row r="64">
      <c r="E64" s="22"/>
      <c r="K64" s="22"/>
      <c r="N64" s="22"/>
    </row>
    <row r="65">
      <c r="E65" s="22"/>
      <c r="K65" s="22"/>
      <c r="N65" s="22"/>
    </row>
    <row r="66">
      <c r="E66" s="22"/>
      <c r="K66" s="22"/>
      <c r="N66" s="22"/>
    </row>
    <row r="67">
      <c r="E67" s="22"/>
      <c r="K67" s="22"/>
      <c r="N67" s="22"/>
    </row>
    <row r="68">
      <c r="E68" s="22"/>
      <c r="K68" s="22"/>
      <c r="N68" s="22"/>
    </row>
    <row r="69">
      <c r="E69" s="22"/>
      <c r="K69" s="22"/>
      <c r="N69" s="22"/>
    </row>
    <row r="70">
      <c r="E70" s="22"/>
      <c r="K70" s="22"/>
      <c r="N70" s="22"/>
    </row>
    <row r="71">
      <c r="E71" s="22"/>
      <c r="K71" s="22"/>
      <c r="N71" s="22"/>
    </row>
    <row r="72">
      <c r="E72" s="22"/>
      <c r="K72" s="22"/>
      <c r="N72" s="22"/>
    </row>
    <row r="73">
      <c r="E73" s="22"/>
      <c r="K73" s="22"/>
      <c r="N73" s="22"/>
    </row>
    <row r="74">
      <c r="E74" s="22"/>
      <c r="K74" s="22"/>
      <c r="N74" s="22"/>
    </row>
    <row r="75">
      <c r="E75" s="22"/>
      <c r="K75" s="22"/>
      <c r="N75" s="22"/>
    </row>
    <row r="76">
      <c r="E76" s="22"/>
      <c r="K76" s="22"/>
      <c r="N76" s="22"/>
    </row>
    <row r="77">
      <c r="E77" s="22"/>
      <c r="K77" s="22"/>
      <c r="N77" s="22"/>
    </row>
    <row r="78">
      <c r="E78" s="22"/>
      <c r="K78" s="22"/>
      <c r="N78" s="22"/>
    </row>
    <row r="79">
      <c r="E79" s="22"/>
      <c r="K79" s="22"/>
      <c r="N79" s="22"/>
    </row>
    <row r="80">
      <c r="E80" s="22"/>
      <c r="K80" s="22"/>
      <c r="N80" s="22"/>
    </row>
    <row r="81">
      <c r="E81" s="22"/>
      <c r="K81" s="22"/>
      <c r="N81" s="22"/>
    </row>
    <row r="82">
      <c r="E82" s="22"/>
      <c r="K82" s="22"/>
      <c r="N82" s="22"/>
    </row>
    <row r="83">
      <c r="E83" s="22"/>
      <c r="K83" s="22"/>
      <c r="N83" s="22"/>
    </row>
    <row r="84">
      <c r="E84" s="22"/>
      <c r="K84" s="22"/>
      <c r="N84" s="22"/>
    </row>
    <row r="85">
      <c r="E85" s="22"/>
      <c r="K85" s="22"/>
      <c r="N85" s="22"/>
    </row>
    <row r="86">
      <c r="E86" s="22"/>
      <c r="K86" s="22"/>
      <c r="N86" s="22"/>
    </row>
    <row r="87">
      <c r="E87" s="22"/>
      <c r="K87" s="22"/>
      <c r="N87" s="22"/>
    </row>
    <row r="88">
      <c r="E88" s="22"/>
      <c r="K88" s="22"/>
      <c r="N88" s="22"/>
    </row>
    <row r="89">
      <c r="E89" s="22"/>
      <c r="K89" s="22"/>
      <c r="N89" s="22"/>
    </row>
    <row r="90">
      <c r="E90" s="22"/>
      <c r="K90" s="22"/>
      <c r="N90" s="22"/>
    </row>
    <row r="91">
      <c r="E91" s="22"/>
      <c r="K91" s="22"/>
      <c r="N91" s="22"/>
    </row>
    <row r="92">
      <c r="E92" s="22"/>
      <c r="K92" s="22"/>
      <c r="N92" s="22"/>
    </row>
    <row r="93">
      <c r="E93" s="22"/>
      <c r="K93" s="22"/>
      <c r="N93" s="22"/>
    </row>
    <row r="94">
      <c r="E94" s="22"/>
      <c r="K94" s="22"/>
      <c r="N94" s="22"/>
    </row>
    <row r="95">
      <c r="E95" s="22"/>
      <c r="K95" s="22"/>
      <c r="N95" s="22"/>
    </row>
    <row r="96">
      <c r="E96" s="22"/>
      <c r="K96" s="22"/>
      <c r="N96" s="22"/>
    </row>
    <row r="97">
      <c r="E97" s="22"/>
      <c r="K97" s="22"/>
      <c r="N97" s="22"/>
    </row>
    <row r="98">
      <c r="E98" s="22"/>
      <c r="K98" s="22"/>
      <c r="N98" s="22"/>
    </row>
    <row r="99">
      <c r="E99" s="22"/>
      <c r="K99" s="22"/>
      <c r="N99" s="22"/>
    </row>
    <row r="100">
      <c r="E100" s="22"/>
      <c r="K100" s="22"/>
      <c r="N100" s="22"/>
    </row>
    <row r="101">
      <c r="E101" s="22"/>
      <c r="K101" s="22"/>
      <c r="N101" s="22"/>
    </row>
    <row r="102">
      <c r="E102" s="22"/>
      <c r="K102" s="22"/>
      <c r="N102" s="22"/>
    </row>
    <row r="103">
      <c r="E103" s="22"/>
      <c r="K103" s="22"/>
      <c r="N103" s="22"/>
    </row>
    <row r="104">
      <c r="E104" s="22"/>
      <c r="K104" s="22"/>
      <c r="N104" s="22"/>
    </row>
    <row r="105">
      <c r="E105" s="22"/>
      <c r="K105" s="22"/>
      <c r="N105" s="22"/>
    </row>
    <row r="106">
      <c r="E106" s="22"/>
      <c r="K106" s="22"/>
      <c r="N106" s="22"/>
    </row>
    <row r="107">
      <c r="E107" s="22"/>
      <c r="K107" s="22"/>
      <c r="N107" s="22"/>
    </row>
    <row r="108">
      <c r="E108" s="22"/>
      <c r="K108" s="22"/>
      <c r="N108" s="22"/>
    </row>
    <row r="109">
      <c r="E109" s="22"/>
      <c r="K109" s="22"/>
      <c r="N109" s="22"/>
    </row>
    <row r="110">
      <c r="E110" s="22"/>
      <c r="K110" s="22"/>
      <c r="N110" s="22"/>
    </row>
    <row r="111">
      <c r="E111" s="22"/>
      <c r="K111" s="22"/>
      <c r="N111" s="22"/>
    </row>
    <row r="112">
      <c r="E112" s="22"/>
      <c r="K112" s="22"/>
      <c r="N112" s="22"/>
    </row>
    <row r="113">
      <c r="E113" s="22"/>
      <c r="K113" s="22"/>
      <c r="N113" s="22"/>
    </row>
    <row r="114">
      <c r="E114" s="22"/>
      <c r="K114" s="22"/>
      <c r="N114" s="22"/>
    </row>
    <row r="115">
      <c r="E115" s="22"/>
      <c r="K115" s="22"/>
      <c r="N115" s="22"/>
    </row>
    <row r="116">
      <c r="E116" s="22"/>
      <c r="K116" s="22"/>
      <c r="N116" s="22"/>
    </row>
    <row r="117">
      <c r="E117" s="22"/>
      <c r="K117" s="22"/>
      <c r="N117" s="22"/>
    </row>
    <row r="118">
      <c r="E118" s="22"/>
      <c r="K118" s="22"/>
      <c r="N118" s="22"/>
    </row>
    <row r="119">
      <c r="E119" s="22"/>
      <c r="K119" s="22"/>
      <c r="N119" s="22"/>
    </row>
    <row r="120">
      <c r="E120" s="22"/>
      <c r="K120" s="22"/>
      <c r="N120" s="22"/>
    </row>
    <row r="121">
      <c r="E121" s="22"/>
      <c r="K121" s="22"/>
      <c r="N121" s="22"/>
    </row>
    <row r="122">
      <c r="E122" s="22"/>
      <c r="K122" s="22"/>
      <c r="N122" s="22"/>
    </row>
    <row r="123">
      <c r="E123" s="22"/>
      <c r="K123" s="22"/>
      <c r="N123" s="22"/>
    </row>
    <row r="124">
      <c r="E124" s="22"/>
      <c r="K124" s="22"/>
      <c r="N124" s="22"/>
    </row>
    <row r="125">
      <c r="E125" s="22"/>
      <c r="K125" s="22"/>
      <c r="N125" s="22"/>
    </row>
    <row r="126">
      <c r="E126" s="22"/>
      <c r="K126" s="22"/>
      <c r="N126" s="22"/>
    </row>
    <row r="127">
      <c r="E127" s="22"/>
      <c r="K127" s="22"/>
      <c r="N127" s="22"/>
    </row>
    <row r="128">
      <c r="E128" s="22"/>
      <c r="K128" s="22"/>
      <c r="N128" s="22"/>
    </row>
    <row r="129">
      <c r="E129" s="22"/>
      <c r="K129" s="22"/>
      <c r="N129" s="22"/>
    </row>
    <row r="130">
      <c r="E130" s="22"/>
      <c r="K130" s="22"/>
      <c r="N130" s="22"/>
    </row>
    <row r="131">
      <c r="E131" s="22"/>
      <c r="K131" s="22"/>
      <c r="N131" s="22"/>
    </row>
    <row r="132">
      <c r="E132" s="22"/>
      <c r="K132" s="22"/>
      <c r="N132" s="22"/>
    </row>
    <row r="133">
      <c r="E133" s="22"/>
      <c r="K133" s="22"/>
      <c r="N133" s="22"/>
    </row>
    <row r="134">
      <c r="E134" s="22"/>
      <c r="K134" s="22"/>
      <c r="N134" s="22"/>
    </row>
    <row r="135">
      <c r="E135" s="22"/>
      <c r="K135" s="22"/>
      <c r="N135" s="22"/>
    </row>
    <row r="136">
      <c r="E136" s="22"/>
      <c r="K136" s="22"/>
      <c r="N136" s="22"/>
    </row>
    <row r="137">
      <c r="E137" s="22"/>
      <c r="K137" s="22"/>
      <c r="N137" s="22"/>
    </row>
    <row r="138">
      <c r="E138" s="22"/>
      <c r="K138" s="22"/>
      <c r="N138" s="22"/>
    </row>
    <row r="139">
      <c r="E139" s="22"/>
      <c r="K139" s="22"/>
      <c r="N139" s="22"/>
    </row>
    <row r="140">
      <c r="E140" s="22"/>
      <c r="K140" s="22"/>
      <c r="N140" s="22"/>
    </row>
    <row r="141">
      <c r="E141" s="22"/>
      <c r="K141" s="22"/>
      <c r="N141" s="22"/>
    </row>
    <row r="142">
      <c r="E142" s="22"/>
      <c r="K142" s="22"/>
      <c r="N142" s="22"/>
    </row>
    <row r="143">
      <c r="E143" s="22"/>
      <c r="K143" s="22"/>
      <c r="N143" s="22"/>
    </row>
    <row r="144">
      <c r="E144" s="22"/>
      <c r="K144" s="22"/>
      <c r="N144" s="22"/>
    </row>
    <row r="145">
      <c r="E145" s="22"/>
      <c r="K145" s="22"/>
      <c r="N145" s="22"/>
    </row>
    <row r="146">
      <c r="E146" s="22"/>
      <c r="K146" s="22"/>
      <c r="N146" s="22"/>
    </row>
    <row r="147">
      <c r="E147" s="22"/>
      <c r="K147" s="22"/>
      <c r="N147" s="22"/>
    </row>
    <row r="148">
      <c r="E148" s="22"/>
      <c r="K148" s="22"/>
      <c r="N148" s="22"/>
    </row>
    <row r="149">
      <c r="E149" s="22"/>
      <c r="K149" s="22"/>
      <c r="N149" s="22"/>
    </row>
    <row r="150">
      <c r="E150" s="22"/>
      <c r="K150" s="22"/>
      <c r="N150" s="22"/>
    </row>
    <row r="151">
      <c r="E151" s="22"/>
      <c r="K151" s="22"/>
      <c r="N151" s="22"/>
    </row>
    <row r="152">
      <c r="E152" s="22"/>
      <c r="K152" s="22"/>
      <c r="N152" s="22"/>
    </row>
    <row r="153">
      <c r="E153" s="22"/>
      <c r="K153" s="22"/>
      <c r="N153" s="22"/>
    </row>
    <row r="154">
      <c r="E154" s="22"/>
      <c r="K154" s="22"/>
      <c r="N154" s="22"/>
    </row>
    <row r="155">
      <c r="E155" s="22"/>
      <c r="K155" s="22"/>
      <c r="N155" s="22"/>
    </row>
    <row r="156">
      <c r="E156" s="22"/>
      <c r="K156" s="22"/>
      <c r="N156" s="22"/>
    </row>
    <row r="157">
      <c r="E157" s="22"/>
      <c r="K157" s="22"/>
      <c r="N157" s="22"/>
    </row>
    <row r="158">
      <c r="E158" s="22"/>
      <c r="K158" s="22"/>
      <c r="N158" s="22"/>
    </row>
    <row r="159">
      <c r="E159" s="22"/>
      <c r="K159" s="22"/>
      <c r="N159" s="22"/>
    </row>
    <row r="160">
      <c r="E160" s="22"/>
      <c r="K160" s="22"/>
      <c r="N160" s="22"/>
    </row>
    <row r="161">
      <c r="E161" s="22"/>
      <c r="K161" s="22"/>
      <c r="N161" s="22"/>
    </row>
    <row r="162">
      <c r="E162" s="22"/>
      <c r="K162" s="22"/>
      <c r="N162" s="22"/>
    </row>
    <row r="163">
      <c r="E163" s="22"/>
      <c r="K163" s="22"/>
      <c r="N163" s="22"/>
    </row>
    <row r="164">
      <c r="E164" s="22"/>
      <c r="K164" s="22"/>
      <c r="N164" s="22"/>
    </row>
    <row r="165">
      <c r="E165" s="22"/>
      <c r="K165" s="22"/>
      <c r="N165" s="22"/>
    </row>
    <row r="166">
      <c r="E166" s="22"/>
      <c r="K166" s="22"/>
      <c r="N166" s="22"/>
    </row>
    <row r="167">
      <c r="E167" s="22"/>
      <c r="K167" s="22"/>
      <c r="N167" s="22"/>
    </row>
    <row r="168">
      <c r="E168" s="22"/>
      <c r="K168" s="22"/>
      <c r="N168" s="22"/>
    </row>
    <row r="169">
      <c r="E169" s="22"/>
      <c r="K169" s="22"/>
      <c r="N169" s="22"/>
    </row>
    <row r="170">
      <c r="E170" s="22"/>
      <c r="K170" s="22"/>
      <c r="N170" s="22"/>
    </row>
    <row r="171">
      <c r="E171" s="22"/>
      <c r="K171" s="22"/>
      <c r="N171" s="22"/>
    </row>
    <row r="172">
      <c r="E172" s="22"/>
      <c r="K172" s="22"/>
      <c r="N172" s="22"/>
    </row>
    <row r="173">
      <c r="E173" s="22"/>
      <c r="K173" s="22"/>
      <c r="N173" s="22"/>
    </row>
    <row r="174">
      <c r="E174" s="22"/>
      <c r="K174" s="22"/>
      <c r="N174" s="22"/>
    </row>
    <row r="175">
      <c r="E175" s="22"/>
      <c r="K175" s="22"/>
      <c r="N175" s="22"/>
    </row>
    <row r="176">
      <c r="E176" s="22"/>
      <c r="K176" s="22"/>
      <c r="N176" s="22"/>
    </row>
    <row r="177">
      <c r="E177" s="22"/>
      <c r="K177" s="22"/>
      <c r="N177" s="22"/>
    </row>
    <row r="178">
      <c r="E178" s="22"/>
      <c r="K178" s="22"/>
      <c r="N178" s="22"/>
    </row>
    <row r="179">
      <c r="E179" s="22"/>
      <c r="K179" s="22"/>
      <c r="N179" s="22"/>
    </row>
    <row r="180">
      <c r="E180" s="22"/>
      <c r="K180" s="22"/>
      <c r="N180" s="22"/>
    </row>
    <row r="181">
      <c r="E181" s="22"/>
      <c r="K181" s="22"/>
      <c r="N181" s="22"/>
    </row>
    <row r="182">
      <c r="E182" s="22"/>
      <c r="K182" s="22"/>
      <c r="N182" s="22"/>
    </row>
    <row r="183">
      <c r="E183" s="22"/>
      <c r="K183" s="22"/>
      <c r="N183" s="22"/>
    </row>
    <row r="184">
      <c r="E184" s="22"/>
      <c r="K184" s="22"/>
      <c r="N184" s="22"/>
    </row>
    <row r="185">
      <c r="E185" s="22"/>
      <c r="K185" s="22"/>
      <c r="N185" s="22"/>
    </row>
    <row r="186">
      <c r="E186" s="22"/>
      <c r="K186" s="22"/>
      <c r="N186" s="22"/>
    </row>
    <row r="187">
      <c r="E187" s="22"/>
      <c r="K187" s="22"/>
      <c r="N187" s="22"/>
    </row>
    <row r="188">
      <c r="E188" s="22"/>
      <c r="K188" s="22"/>
      <c r="N188" s="22"/>
    </row>
    <row r="189">
      <c r="E189" s="22"/>
      <c r="K189" s="22"/>
      <c r="N189" s="22"/>
    </row>
    <row r="190">
      <c r="E190" s="22"/>
      <c r="K190" s="22"/>
      <c r="N190" s="22"/>
    </row>
    <row r="191">
      <c r="E191" s="22"/>
      <c r="K191" s="22"/>
      <c r="N191" s="22"/>
    </row>
    <row r="192">
      <c r="E192" s="22"/>
      <c r="K192" s="22"/>
      <c r="N192" s="22"/>
    </row>
    <row r="193">
      <c r="E193" s="22"/>
      <c r="K193" s="22"/>
      <c r="N193" s="22"/>
    </row>
    <row r="194">
      <c r="E194" s="22"/>
      <c r="K194" s="22"/>
      <c r="N194" s="22"/>
    </row>
    <row r="195">
      <c r="E195" s="22"/>
      <c r="K195" s="22"/>
      <c r="N195" s="22"/>
    </row>
    <row r="196">
      <c r="E196" s="22"/>
      <c r="K196" s="22"/>
      <c r="N196" s="22"/>
    </row>
    <row r="197">
      <c r="E197" s="22"/>
      <c r="K197" s="22"/>
      <c r="N197" s="22"/>
    </row>
    <row r="198">
      <c r="E198" s="22"/>
      <c r="K198" s="22"/>
      <c r="N198" s="22"/>
    </row>
    <row r="199">
      <c r="E199" s="22"/>
      <c r="K199" s="22"/>
      <c r="N199" s="22"/>
    </row>
    <row r="200">
      <c r="E200" s="22"/>
      <c r="K200" s="22"/>
      <c r="N200" s="22"/>
    </row>
    <row r="201">
      <c r="E201" s="22"/>
      <c r="K201" s="22"/>
      <c r="N201" s="22"/>
    </row>
    <row r="202">
      <c r="E202" s="22"/>
      <c r="K202" s="22"/>
      <c r="N202" s="22"/>
    </row>
    <row r="203">
      <c r="E203" s="22"/>
      <c r="K203" s="22"/>
      <c r="N203" s="22"/>
    </row>
    <row r="204">
      <c r="E204" s="22"/>
      <c r="K204" s="22"/>
      <c r="N204" s="22"/>
    </row>
    <row r="205">
      <c r="E205" s="22"/>
      <c r="K205" s="22"/>
      <c r="N205" s="22"/>
    </row>
    <row r="206">
      <c r="E206" s="22"/>
      <c r="K206" s="22"/>
      <c r="N206" s="22"/>
    </row>
    <row r="207">
      <c r="E207" s="22"/>
      <c r="K207" s="22"/>
      <c r="N207" s="22"/>
    </row>
    <row r="208">
      <c r="E208" s="22"/>
      <c r="K208" s="22"/>
      <c r="N208" s="22"/>
    </row>
    <row r="209">
      <c r="E209" s="22"/>
      <c r="K209" s="22"/>
      <c r="N209" s="22"/>
    </row>
    <row r="210">
      <c r="E210" s="22"/>
      <c r="K210" s="22"/>
      <c r="N210" s="22"/>
    </row>
    <row r="211">
      <c r="E211" s="22"/>
      <c r="K211" s="22"/>
      <c r="N211" s="22"/>
    </row>
    <row r="212">
      <c r="E212" s="22"/>
      <c r="K212" s="22"/>
      <c r="N212" s="22"/>
    </row>
    <row r="213">
      <c r="E213" s="22"/>
      <c r="K213" s="22"/>
      <c r="N213" s="22"/>
    </row>
    <row r="214">
      <c r="E214" s="22"/>
      <c r="K214" s="22"/>
      <c r="N214" s="22"/>
    </row>
    <row r="215">
      <c r="E215" s="22"/>
      <c r="K215" s="22"/>
      <c r="N215" s="22"/>
    </row>
    <row r="216">
      <c r="E216" s="22"/>
      <c r="K216" s="22"/>
      <c r="N216" s="22"/>
    </row>
    <row r="217">
      <c r="E217" s="22"/>
      <c r="K217" s="22"/>
      <c r="N217" s="22"/>
    </row>
    <row r="218">
      <c r="E218" s="22"/>
      <c r="K218" s="22"/>
      <c r="N218" s="22"/>
    </row>
    <row r="219">
      <c r="E219" s="22"/>
      <c r="K219" s="22"/>
      <c r="N219" s="22"/>
    </row>
    <row r="220">
      <c r="E220" s="22"/>
      <c r="K220" s="22"/>
      <c r="N220" s="22"/>
    </row>
    <row r="221">
      <c r="E221" s="22"/>
      <c r="K221" s="22"/>
      <c r="N221" s="22"/>
    </row>
    <row r="222">
      <c r="E222" s="22"/>
      <c r="K222" s="22"/>
      <c r="N222" s="22"/>
    </row>
    <row r="223">
      <c r="E223" s="22"/>
      <c r="K223" s="22"/>
      <c r="N223" s="22"/>
    </row>
    <row r="224">
      <c r="E224" s="22"/>
      <c r="K224" s="22"/>
      <c r="N224" s="22"/>
    </row>
    <row r="225">
      <c r="E225" s="22"/>
      <c r="K225" s="22"/>
      <c r="N225" s="22"/>
    </row>
    <row r="226">
      <c r="E226" s="22"/>
      <c r="K226" s="22"/>
      <c r="N226" s="22"/>
    </row>
    <row r="227">
      <c r="E227" s="22"/>
      <c r="K227" s="22"/>
      <c r="N227" s="22"/>
    </row>
    <row r="228">
      <c r="E228" s="22"/>
      <c r="K228" s="22"/>
      <c r="N228" s="22"/>
    </row>
    <row r="229">
      <c r="E229" s="22"/>
      <c r="K229" s="22"/>
      <c r="N229" s="22"/>
    </row>
    <row r="230">
      <c r="E230" s="22"/>
      <c r="K230" s="22"/>
      <c r="N230" s="22"/>
    </row>
    <row r="231">
      <c r="E231" s="22"/>
      <c r="K231" s="22"/>
      <c r="N231" s="22"/>
    </row>
    <row r="232">
      <c r="E232" s="22"/>
      <c r="K232" s="22"/>
      <c r="N232" s="22"/>
    </row>
    <row r="233">
      <c r="E233" s="22"/>
      <c r="K233" s="22"/>
      <c r="N233" s="22"/>
    </row>
    <row r="234">
      <c r="E234" s="22"/>
      <c r="K234" s="22"/>
      <c r="N234" s="22"/>
    </row>
    <row r="235">
      <c r="E235" s="22"/>
      <c r="K235" s="22"/>
      <c r="N235" s="22"/>
    </row>
    <row r="236">
      <c r="E236" s="22"/>
      <c r="K236" s="22"/>
      <c r="N236" s="22"/>
    </row>
    <row r="237">
      <c r="E237" s="22"/>
      <c r="K237" s="22"/>
      <c r="N237" s="22"/>
    </row>
    <row r="238">
      <c r="E238" s="22"/>
      <c r="K238" s="22"/>
      <c r="N238" s="22"/>
    </row>
    <row r="239">
      <c r="E239" s="22"/>
      <c r="K239" s="22"/>
      <c r="N239" s="22"/>
    </row>
    <row r="240">
      <c r="E240" s="22"/>
      <c r="K240" s="22"/>
      <c r="N240" s="22"/>
    </row>
    <row r="241">
      <c r="E241" s="22"/>
      <c r="K241" s="22"/>
      <c r="N241" s="22"/>
    </row>
    <row r="242">
      <c r="E242" s="22"/>
      <c r="K242" s="22"/>
      <c r="N242" s="22"/>
    </row>
    <row r="243">
      <c r="E243" s="22"/>
      <c r="K243" s="22"/>
      <c r="N243" s="22"/>
    </row>
    <row r="244">
      <c r="E244" s="22"/>
      <c r="K244" s="22"/>
      <c r="N244" s="22"/>
    </row>
    <row r="245">
      <c r="E245" s="22"/>
      <c r="K245" s="22"/>
      <c r="N245" s="22"/>
    </row>
    <row r="246">
      <c r="E246" s="22"/>
      <c r="K246" s="22"/>
      <c r="N246" s="22"/>
    </row>
    <row r="247">
      <c r="E247" s="22"/>
      <c r="K247" s="22"/>
      <c r="N247" s="22"/>
    </row>
    <row r="248">
      <c r="E248" s="22"/>
      <c r="K248" s="22"/>
      <c r="N248" s="22"/>
    </row>
    <row r="249">
      <c r="E249" s="22"/>
      <c r="K249" s="22"/>
      <c r="N249" s="22"/>
    </row>
    <row r="250">
      <c r="E250" s="22"/>
      <c r="K250" s="22"/>
      <c r="N250" s="22"/>
    </row>
    <row r="251">
      <c r="E251" s="22"/>
      <c r="K251" s="22"/>
      <c r="N251" s="22"/>
    </row>
    <row r="252">
      <c r="E252" s="22"/>
      <c r="K252" s="22"/>
      <c r="N252" s="22"/>
    </row>
    <row r="253">
      <c r="E253" s="22"/>
      <c r="K253" s="22"/>
      <c r="N253" s="22"/>
    </row>
    <row r="254">
      <c r="E254" s="22"/>
      <c r="K254" s="22"/>
      <c r="N254" s="22"/>
    </row>
    <row r="255">
      <c r="E255" s="22"/>
      <c r="K255" s="22"/>
      <c r="N255" s="22"/>
    </row>
    <row r="256">
      <c r="E256" s="22"/>
      <c r="K256" s="22"/>
      <c r="N256" s="22"/>
    </row>
    <row r="257">
      <c r="E257" s="22"/>
      <c r="K257" s="22"/>
      <c r="N257" s="22"/>
    </row>
    <row r="258">
      <c r="E258" s="22"/>
      <c r="K258" s="22"/>
      <c r="N258" s="22"/>
    </row>
    <row r="259">
      <c r="E259" s="22"/>
      <c r="K259" s="22"/>
      <c r="N259" s="22"/>
    </row>
    <row r="260">
      <c r="E260" s="22"/>
      <c r="K260" s="22"/>
      <c r="N260" s="22"/>
    </row>
    <row r="261">
      <c r="E261" s="22"/>
      <c r="K261" s="22"/>
      <c r="N261" s="22"/>
    </row>
    <row r="262">
      <c r="E262" s="22"/>
      <c r="K262" s="22"/>
      <c r="N262" s="22"/>
    </row>
    <row r="263">
      <c r="E263" s="22"/>
      <c r="K263" s="22"/>
      <c r="N263" s="22"/>
    </row>
    <row r="264">
      <c r="E264" s="22"/>
      <c r="K264" s="22"/>
      <c r="N264" s="22"/>
    </row>
    <row r="265">
      <c r="E265" s="22"/>
      <c r="K265" s="22"/>
      <c r="N265" s="22"/>
    </row>
    <row r="266">
      <c r="E266" s="22"/>
      <c r="K266" s="22"/>
      <c r="N266" s="22"/>
    </row>
    <row r="267">
      <c r="E267" s="22"/>
      <c r="K267" s="22"/>
      <c r="N267" s="22"/>
    </row>
    <row r="268">
      <c r="E268" s="22"/>
      <c r="K268" s="22"/>
      <c r="N268" s="22"/>
    </row>
    <row r="269">
      <c r="E269" s="22"/>
      <c r="K269" s="22"/>
      <c r="N269" s="22"/>
    </row>
    <row r="270">
      <c r="E270" s="22"/>
      <c r="K270" s="22"/>
      <c r="N270" s="22"/>
    </row>
    <row r="271">
      <c r="E271" s="22"/>
      <c r="K271" s="22"/>
      <c r="N271" s="22"/>
    </row>
    <row r="272">
      <c r="E272" s="22"/>
      <c r="K272" s="22"/>
      <c r="N272" s="22"/>
    </row>
    <row r="273">
      <c r="E273" s="22"/>
      <c r="K273" s="22"/>
      <c r="N273" s="22"/>
    </row>
    <row r="274">
      <c r="E274" s="22"/>
      <c r="K274" s="22"/>
      <c r="N274" s="22"/>
    </row>
    <row r="275">
      <c r="E275" s="22"/>
      <c r="K275" s="22"/>
      <c r="N275" s="22"/>
    </row>
    <row r="276">
      <c r="E276" s="22"/>
      <c r="K276" s="22"/>
      <c r="N276" s="22"/>
    </row>
    <row r="277">
      <c r="E277" s="22"/>
      <c r="K277" s="22"/>
      <c r="N277" s="22"/>
    </row>
    <row r="278">
      <c r="E278" s="22"/>
      <c r="K278" s="22"/>
      <c r="N278" s="22"/>
    </row>
    <row r="279">
      <c r="E279" s="22"/>
      <c r="K279" s="22"/>
      <c r="N279" s="22"/>
    </row>
    <row r="280">
      <c r="E280" s="22"/>
      <c r="K280" s="22"/>
      <c r="N280" s="22"/>
    </row>
    <row r="281">
      <c r="E281" s="22"/>
      <c r="K281" s="22"/>
      <c r="N281" s="22"/>
    </row>
    <row r="282">
      <c r="E282" s="22"/>
      <c r="K282" s="22"/>
      <c r="N282" s="22"/>
    </row>
    <row r="283">
      <c r="E283" s="22"/>
      <c r="K283" s="22"/>
      <c r="N283" s="22"/>
    </row>
    <row r="284">
      <c r="E284" s="22"/>
      <c r="K284" s="22"/>
      <c r="N284" s="22"/>
    </row>
    <row r="285">
      <c r="E285" s="22"/>
      <c r="K285" s="22"/>
      <c r="N285" s="22"/>
    </row>
    <row r="286">
      <c r="E286" s="22"/>
      <c r="K286" s="22"/>
      <c r="N286" s="22"/>
    </row>
    <row r="287">
      <c r="E287" s="22"/>
      <c r="K287" s="22"/>
      <c r="N287" s="22"/>
    </row>
    <row r="288">
      <c r="E288" s="22"/>
      <c r="K288" s="22"/>
      <c r="N288" s="22"/>
    </row>
    <row r="289">
      <c r="E289" s="22"/>
      <c r="K289" s="22"/>
      <c r="N289" s="22"/>
    </row>
    <row r="290">
      <c r="E290" s="22"/>
      <c r="K290" s="22"/>
      <c r="N290" s="22"/>
    </row>
    <row r="291">
      <c r="E291" s="22"/>
      <c r="K291" s="22"/>
      <c r="N291" s="22"/>
    </row>
    <row r="292">
      <c r="E292" s="22"/>
      <c r="K292" s="22"/>
      <c r="N292" s="22"/>
    </row>
    <row r="293">
      <c r="E293" s="22"/>
      <c r="K293" s="22"/>
      <c r="N293" s="22"/>
    </row>
    <row r="294">
      <c r="E294" s="22"/>
      <c r="K294" s="22"/>
      <c r="N294" s="22"/>
    </row>
    <row r="295">
      <c r="E295" s="22"/>
      <c r="K295" s="22"/>
      <c r="N295" s="22"/>
    </row>
    <row r="296">
      <c r="E296" s="22"/>
      <c r="K296" s="22"/>
      <c r="N296" s="22"/>
    </row>
    <row r="297">
      <c r="E297" s="22"/>
      <c r="K297" s="22"/>
      <c r="N297" s="22"/>
    </row>
    <row r="298">
      <c r="E298" s="22"/>
      <c r="K298" s="22"/>
      <c r="N298" s="22"/>
    </row>
    <row r="299">
      <c r="E299" s="22"/>
      <c r="K299" s="22"/>
      <c r="N299" s="22"/>
    </row>
    <row r="300">
      <c r="E300" s="22"/>
      <c r="K300" s="22"/>
      <c r="N300" s="22"/>
    </row>
    <row r="301">
      <c r="E301" s="22"/>
      <c r="K301" s="22"/>
      <c r="N301" s="22"/>
    </row>
    <row r="302">
      <c r="E302" s="22"/>
      <c r="K302" s="22"/>
      <c r="N302" s="22"/>
    </row>
    <row r="303">
      <c r="E303" s="22"/>
      <c r="K303" s="22"/>
      <c r="N303" s="22"/>
    </row>
    <row r="304">
      <c r="E304" s="22"/>
      <c r="K304" s="22"/>
      <c r="N304" s="22"/>
    </row>
    <row r="305">
      <c r="E305" s="22"/>
      <c r="K305" s="22"/>
      <c r="N305" s="22"/>
    </row>
    <row r="306">
      <c r="E306" s="22"/>
      <c r="K306" s="22"/>
      <c r="N306" s="22"/>
    </row>
    <row r="307">
      <c r="E307" s="22"/>
      <c r="K307" s="22"/>
      <c r="N307" s="22"/>
    </row>
    <row r="308">
      <c r="E308" s="22"/>
      <c r="K308" s="22"/>
      <c r="N308" s="22"/>
    </row>
    <row r="309">
      <c r="E309" s="22"/>
      <c r="K309" s="22"/>
      <c r="N309" s="22"/>
    </row>
    <row r="310">
      <c r="E310" s="22"/>
      <c r="K310" s="22"/>
      <c r="N310" s="22"/>
    </row>
    <row r="311">
      <c r="E311" s="22"/>
      <c r="K311" s="22"/>
      <c r="N311" s="22"/>
    </row>
    <row r="312">
      <c r="E312" s="22"/>
      <c r="K312" s="22"/>
      <c r="N312" s="22"/>
    </row>
    <row r="313">
      <c r="E313" s="22"/>
      <c r="K313" s="22"/>
      <c r="N313" s="22"/>
    </row>
    <row r="314">
      <c r="E314" s="22"/>
      <c r="K314" s="22"/>
      <c r="N314" s="22"/>
    </row>
    <row r="315">
      <c r="E315" s="22"/>
      <c r="K315" s="22"/>
      <c r="N315" s="22"/>
    </row>
    <row r="316">
      <c r="E316" s="22"/>
      <c r="K316" s="22"/>
      <c r="N316" s="22"/>
    </row>
    <row r="317">
      <c r="E317" s="22"/>
      <c r="K317" s="22"/>
      <c r="N317" s="22"/>
    </row>
    <row r="318">
      <c r="E318" s="22"/>
      <c r="K318" s="22"/>
      <c r="N318" s="22"/>
    </row>
    <row r="319">
      <c r="E319" s="22"/>
      <c r="K319" s="22"/>
      <c r="N319" s="22"/>
    </row>
    <row r="320">
      <c r="E320" s="22"/>
      <c r="K320" s="22"/>
      <c r="N320" s="22"/>
    </row>
    <row r="321">
      <c r="E321" s="22"/>
      <c r="K321" s="22"/>
      <c r="N321" s="22"/>
    </row>
    <row r="322">
      <c r="E322" s="22"/>
      <c r="K322" s="22"/>
      <c r="N322" s="22"/>
    </row>
    <row r="323">
      <c r="E323" s="22"/>
      <c r="K323" s="22"/>
      <c r="N323" s="22"/>
    </row>
    <row r="324">
      <c r="E324" s="22"/>
      <c r="K324" s="22"/>
      <c r="N324" s="22"/>
    </row>
    <row r="325">
      <c r="E325" s="22"/>
      <c r="K325" s="22"/>
      <c r="N325" s="22"/>
    </row>
    <row r="326">
      <c r="E326" s="22"/>
      <c r="K326" s="22"/>
      <c r="N326" s="22"/>
    </row>
    <row r="327">
      <c r="E327" s="22"/>
      <c r="K327" s="22"/>
      <c r="N327" s="22"/>
    </row>
    <row r="328">
      <c r="E328" s="22"/>
      <c r="K328" s="22"/>
      <c r="N328" s="22"/>
    </row>
    <row r="329">
      <c r="E329" s="22"/>
      <c r="K329" s="22"/>
      <c r="N329" s="22"/>
    </row>
    <row r="330">
      <c r="E330" s="22"/>
      <c r="K330" s="22"/>
      <c r="N330" s="22"/>
    </row>
    <row r="331">
      <c r="E331" s="22"/>
      <c r="K331" s="22"/>
      <c r="N331" s="22"/>
    </row>
    <row r="332">
      <c r="E332" s="22"/>
      <c r="K332" s="22"/>
      <c r="N332" s="22"/>
    </row>
    <row r="333">
      <c r="E333" s="22"/>
      <c r="K333" s="22"/>
      <c r="N333" s="22"/>
    </row>
    <row r="334">
      <c r="E334" s="22"/>
      <c r="K334" s="22"/>
      <c r="N334" s="22"/>
    </row>
    <row r="335">
      <c r="E335" s="22"/>
      <c r="K335" s="22"/>
      <c r="N335" s="22"/>
    </row>
    <row r="336">
      <c r="E336" s="22"/>
      <c r="K336" s="22"/>
      <c r="N336" s="22"/>
    </row>
    <row r="337">
      <c r="E337" s="22"/>
      <c r="K337" s="22"/>
      <c r="N337" s="22"/>
    </row>
    <row r="338">
      <c r="E338" s="22"/>
      <c r="K338" s="22"/>
      <c r="N338" s="22"/>
    </row>
    <row r="339">
      <c r="E339" s="22"/>
      <c r="K339" s="22"/>
      <c r="N339" s="22"/>
    </row>
    <row r="340">
      <c r="E340" s="22"/>
      <c r="K340" s="22"/>
      <c r="N340" s="22"/>
    </row>
    <row r="341">
      <c r="E341" s="22"/>
      <c r="K341" s="22"/>
      <c r="N341" s="22"/>
    </row>
    <row r="342">
      <c r="E342" s="22"/>
      <c r="K342" s="22"/>
      <c r="N342" s="22"/>
    </row>
    <row r="343">
      <c r="E343" s="22"/>
      <c r="K343" s="22"/>
      <c r="N343" s="22"/>
    </row>
    <row r="344">
      <c r="E344" s="22"/>
      <c r="K344" s="22"/>
      <c r="N344" s="22"/>
    </row>
    <row r="345">
      <c r="E345" s="22"/>
      <c r="K345" s="22"/>
      <c r="N345" s="22"/>
    </row>
    <row r="346">
      <c r="E346" s="22"/>
      <c r="K346" s="22"/>
      <c r="N346" s="22"/>
    </row>
    <row r="347">
      <c r="E347" s="22"/>
      <c r="K347" s="22"/>
      <c r="N347" s="22"/>
    </row>
    <row r="348">
      <c r="E348" s="22"/>
      <c r="K348" s="22"/>
      <c r="N348" s="22"/>
    </row>
    <row r="349">
      <c r="E349" s="22"/>
      <c r="K349" s="22"/>
      <c r="N349" s="22"/>
    </row>
    <row r="350">
      <c r="E350" s="22"/>
      <c r="K350" s="22"/>
      <c r="N350" s="22"/>
    </row>
    <row r="351">
      <c r="E351" s="22"/>
      <c r="K351" s="22"/>
      <c r="N351" s="22"/>
    </row>
    <row r="352">
      <c r="E352" s="22"/>
      <c r="K352" s="22"/>
      <c r="N352" s="22"/>
    </row>
    <row r="353">
      <c r="E353" s="22"/>
      <c r="K353" s="22"/>
      <c r="N353" s="22"/>
    </row>
    <row r="354">
      <c r="E354" s="22"/>
      <c r="K354" s="22"/>
      <c r="N354" s="22"/>
    </row>
    <row r="355">
      <c r="E355" s="22"/>
      <c r="K355" s="22"/>
      <c r="N355" s="22"/>
    </row>
    <row r="356">
      <c r="E356" s="22"/>
      <c r="K356" s="22"/>
      <c r="N356" s="22"/>
    </row>
    <row r="357">
      <c r="E357" s="22"/>
      <c r="K357" s="22"/>
      <c r="N357" s="22"/>
    </row>
    <row r="358">
      <c r="E358" s="22"/>
      <c r="K358" s="22"/>
      <c r="N358" s="22"/>
    </row>
    <row r="359">
      <c r="E359" s="22"/>
      <c r="K359" s="22"/>
      <c r="N359" s="22"/>
    </row>
    <row r="360">
      <c r="E360" s="22"/>
      <c r="K360" s="22"/>
      <c r="N360" s="22"/>
    </row>
    <row r="361">
      <c r="E361" s="22"/>
      <c r="K361" s="22"/>
      <c r="N361" s="22"/>
    </row>
    <row r="362">
      <c r="E362" s="22"/>
      <c r="K362" s="22"/>
      <c r="N362" s="22"/>
    </row>
    <row r="363">
      <c r="E363" s="22"/>
      <c r="K363" s="22"/>
      <c r="N363" s="22"/>
    </row>
    <row r="364">
      <c r="E364" s="22"/>
      <c r="K364" s="22"/>
      <c r="N364" s="22"/>
    </row>
    <row r="365">
      <c r="E365" s="22"/>
      <c r="K365" s="22"/>
      <c r="N365" s="22"/>
    </row>
    <row r="366">
      <c r="E366" s="22"/>
      <c r="K366" s="22"/>
      <c r="N366" s="22"/>
    </row>
    <row r="367">
      <c r="E367" s="22"/>
      <c r="K367" s="22"/>
      <c r="N367" s="22"/>
    </row>
    <row r="368">
      <c r="E368" s="22"/>
      <c r="K368" s="22"/>
      <c r="N368" s="22"/>
    </row>
    <row r="369">
      <c r="E369" s="22"/>
      <c r="K369" s="22"/>
      <c r="N369" s="22"/>
    </row>
    <row r="370">
      <c r="E370" s="22"/>
      <c r="K370" s="22"/>
      <c r="N370" s="22"/>
    </row>
    <row r="371">
      <c r="E371" s="22"/>
      <c r="K371" s="22"/>
      <c r="N371" s="22"/>
    </row>
    <row r="372">
      <c r="E372" s="22"/>
      <c r="K372" s="22"/>
      <c r="N372" s="22"/>
    </row>
    <row r="373">
      <c r="E373" s="22"/>
      <c r="K373" s="22"/>
      <c r="N373" s="22"/>
    </row>
    <row r="374">
      <c r="E374" s="22"/>
      <c r="K374" s="22"/>
      <c r="N374" s="22"/>
    </row>
    <row r="375">
      <c r="E375" s="22"/>
      <c r="K375" s="22"/>
      <c r="N375" s="22"/>
    </row>
    <row r="376">
      <c r="E376" s="22"/>
      <c r="K376" s="22"/>
      <c r="N376" s="22"/>
    </row>
    <row r="377">
      <c r="E377" s="22"/>
      <c r="K377" s="22"/>
      <c r="N377" s="22"/>
    </row>
    <row r="378">
      <c r="E378" s="22"/>
      <c r="K378" s="22"/>
      <c r="N378" s="22"/>
    </row>
    <row r="379">
      <c r="E379" s="22"/>
      <c r="K379" s="22"/>
      <c r="N379" s="22"/>
    </row>
    <row r="380">
      <c r="E380" s="22"/>
      <c r="K380" s="22"/>
      <c r="N380" s="22"/>
    </row>
    <row r="381">
      <c r="E381" s="22"/>
      <c r="K381" s="22"/>
      <c r="N381" s="22"/>
    </row>
    <row r="382">
      <c r="E382" s="22"/>
      <c r="K382" s="22"/>
      <c r="N382" s="22"/>
    </row>
    <row r="383">
      <c r="E383" s="22"/>
      <c r="K383" s="22"/>
      <c r="N383" s="22"/>
    </row>
    <row r="384">
      <c r="E384" s="22"/>
      <c r="K384" s="22"/>
      <c r="N384" s="22"/>
    </row>
    <row r="385">
      <c r="E385" s="22"/>
      <c r="K385" s="22"/>
      <c r="N385" s="22"/>
    </row>
    <row r="386">
      <c r="E386" s="22"/>
      <c r="K386" s="22"/>
      <c r="N386" s="22"/>
    </row>
    <row r="387">
      <c r="E387" s="22"/>
      <c r="K387" s="22"/>
      <c r="N387" s="22"/>
    </row>
    <row r="388">
      <c r="E388" s="22"/>
      <c r="K388" s="22"/>
      <c r="N388" s="22"/>
    </row>
    <row r="389">
      <c r="E389" s="22"/>
      <c r="K389" s="22"/>
      <c r="N389" s="22"/>
    </row>
    <row r="390">
      <c r="E390" s="22"/>
      <c r="K390" s="22"/>
      <c r="N390" s="22"/>
    </row>
    <row r="391">
      <c r="E391" s="22"/>
      <c r="K391" s="22"/>
      <c r="N391" s="22"/>
    </row>
    <row r="392">
      <c r="E392" s="22"/>
      <c r="K392" s="22"/>
      <c r="N392" s="22"/>
    </row>
    <row r="393">
      <c r="E393" s="22"/>
      <c r="K393" s="22"/>
      <c r="N393" s="22"/>
    </row>
    <row r="394">
      <c r="E394" s="22"/>
      <c r="K394" s="22"/>
      <c r="N394" s="22"/>
    </row>
    <row r="395">
      <c r="E395" s="22"/>
      <c r="K395" s="22"/>
      <c r="N395" s="22"/>
    </row>
    <row r="396">
      <c r="E396" s="22"/>
      <c r="K396" s="22"/>
      <c r="N396" s="22"/>
    </row>
    <row r="397">
      <c r="E397" s="22"/>
      <c r="K397" s="22"/>
      <c r="N397" s="22"/>
    </row>
    <row r="398">
      <c r="E398" s="22"/>
      <c r="K398" s="22"/>
      <c r="N398" s="22"/>
    </row>
    <row r="399">
      <c r="E399" s="22"/>
      <c r="K399" s="22"/>
      <c r="N399" s="22"/>
    </row>
    <row r="400">
      <c r="E400" s="22"/>
      <c r="K400" s="22"/>
      <c r="N400" s="22"/>
    </row>
    <row r="401">
      <c r="E401" s="22"/>
      <c r="K401" s="22"/>
      <c r="N401" s="22"/>
    </row>
    <row r="402">
      <c r="E402" s="22"/>
      <c r="K402" s="22"/>
      <c r="N402" s="22"/>
    </row>
    <row r="403">
      <c r="E403" s="22"/>
      <c r="K403" s="22"/>
      <c r="N403" s="22"/>
    </row>
    <row r="404">
      <c r="E404" s="22"/>
      <c r="K404" s="22"/>
      <c r="N404" s="22"/>
    </row>
    <row r="405">
      <c r="E405" s="22"/>
      <c r="K405" s="22"/>
      <c r="N405" s="22"/>
    </row>
    <row r="406">
      <c r="E406" s="22"/>
      <c r="K406" s="22"/>
      <c r="N406" s="22"/>
    </row>
    <row r="407">
      <c r="E407" s="22"/>
      <c r="K407" s="22"/>
      <c r="N407" s="22"/>
    </row>
    <row r="408">
      <c r="E408" s="22"/>
      <c r="K408" s="22"/>
      <c r="N408" s="22"/>
    </row>
    <row r="409">
      <c r="E409" s="22"/>
      <c r="K409" s="22"/>
      <c r="N409" s="22"/>
    </row>
    <row r="410">
      <c r="E410" s="22"/>
      <c r="K410" s="22"/>
      <c r="N410" s="22"/>
    </row>
    <row r="411">
      <c r="E411" s="22"/>
      <c r="K411" s="22"/>
      <c r="N411" s="22"/>
    </row>
    <row r="412">
      <c r="E412" s="22"/>
      <c r="K412" s="22"/>
      <c r="N412" s="22"/>
    </row>
    <row r="413">
      <c r="E413" s="22"/>
      <c r="K413" s="22"/>
      <c r="N413" s="22"/>
    </row>
    <row r="414">
      <c r="E414" s="22"/>
      <c r="K414" s="22"/>
      <c r="N414" s="22"/>
    </row>
    <row r="415">
      <c r="E415" s="22"/>
      <c r="K415" s="22"/>
      <c r="N415" s="22"/>
    </row>
    <row r="416">
      <c r="E416" s="22"/>
      <c r="K416" s="22"/>
      <c r="N416" s="22"/>
    </row>
    <row r="417">
      <c r="E417" s="22"/>
      <c r="K417" s="22"/>
      <c r="N417" s="22"/>
    </row>
    <row r="418">
      <c r="E418" s="22"/>
      <c r="K418" s="22"/>
      <c r="N418" s="22"/>
    </row>
    <row r="419">
      <c r="E419" s="22"/>
      <c r="K419" s="22"/>
      <c r="N419" s="22"/>
    </row>
    <row r="420">
      <c r="E420" s="22"/>
      <c r="K420" s="22"/>
      <c r="N420" s="22"/>
    </row>
    <row r="421">
      <c r="E421" s="22"/>
      <c r="K421" s="22"/>
      <c r="N421" s="22"/>
    </row>
    <row r="422">
      <c r="E422" s="22"/>
      <c r="K422" s="22"/>
      <c r="N422" s="22"/>
    </row>
    <row r="423">
      <c r="E423" s="22"/>
      <c r="K423" s="22"/>
      <c r="N423" s="22"/>
    </row>
    <row r="424">
      <c r="E424" s="22"/>
      <c r="K424" s="22"/>
      <c r="N424" s="22"/>
    </row>
    <row r="425">
      <c r="E425" s="22"/>
      <c r="K425" s="22"/>
      <c r="N425" s="22"/>
    </row>
    <row r="426">
      <c r="E426" s="22"/>
      <c r="K426" s="22"/>
      <c r="N426" s="22"/>
    </row>
    <row r="427">
      <c r="E427" s="22"/>
      <c r="K427" s="22"/>
      <c r="N427" s="22"/>
    </row>
    <row r="428">
      <c r="E428" s="22"/>
      <c r="K428" s="22"/>
      <c r="N428" s="22"/>
    </row>
    <row r="429">
      <c r="E429" s="22"/>
      <c r="K429" s="22"/>
      <c r="N429" s="22"/>
    </row>
    <row r="430">
      <c r="E430" s="22"/>
      <c r="K430" s="22"/>
      <c r="N430" s="22"/>
    </row>
    <row r="431">
      <c r="E431" s="22"/>
      <c r="K431" s="22"/>
      <c r="N431" s="22"/>
    </row>
    <row r="432">
      <c r="E432" s="22"/>
      <c r="K432" s="22"/>
      <c r="N432" s="22"/>
    </row>
    <row r="433">
      <c r="E433" s="22"/>
      <c r="K433" s="22"/>
      <c r="N433" s="22"/>
    </row>
    <row r="434">
      <c r="E434" s="22"/>
      <c r="K434" s="22"/>
      <c r="N434" s="22"/>
    </row>
    <row r="435">
      <c r="E435" s="22"/>
      <c r="K435" s="22"/>
      <c r="N435" s="22"/>
    </row>
    <row r="436">
      <c r="E436" s="22"/>
      <c r="K436" s="22"/>
      <c r="N436" s="22"/>
    </row>
    <row r="437">
      <c r="E437" s="22"/>
      <c r="K437" s="22"/>
      <c r="N437" s="22"/>
    </row>
    <row r="438">
      <c r="E438" s="22"/>
      <c r="K438" s="22"/>
      <c r="N438" s="22"/>
    </row>
    <row r="439">
      <c r="E439" s="22"/>
      <c r="K439" s="22"/>
      <c r="N439" s="22"/>
    </row>
    <row r="440">
      <c r="E440" s="22"/>
      <c r="K440" s="22"/>
      <c r="N440" s="22"/>
    </row>
    <row r="441">
      <c r="E441" s="22"/>
      <c r="K441" s="22"/>
      <c r="N441" s="22"/>
    </row>
    <row r="442">
      <c r="E442" s="22"/>
      <c r="K442" s="22"/>
      <c r="N442" s="22"/>
    </row>
    <row r="443">
      <c r="E443" s="22"/>
      <c r="K443" s="22"/>
      <c r="N443" s="22"/>
    </row>
    <row r="444">
      <c r="E444" s="22"/>
      <c r="K444" s="22"/>
      <c r="N444" s="22"/>
    </row>
    <row r="445">
      <c r="E445" s="22"/>
      <c r="K445" s="22"/>
      <c r="N445" s="22"/>
    </row>
    <row r="446">
      <c r="E446" s="22"/>
      <c r="K446" s="22"/>
      <c r="N446" s="22"/>
    </row>
    <row r="447">
      <c r="E447" s="22"/>
      <c r="K447" s="22"/>
      <c r="N447" s="22"/>
    </row>
    <row r="448">
      <c r="E448" s="22"/>
      <c r="K448" s="22"/>
      <c r="N448" s="22"/>
    </row>
    <row r="449">
      <c r="E449" s="22"/>
      <c r="K449" s="22"/>
      <c r="N449" s="22"/>
    </row>
    <row r="450">
      <c r="E450" s="22"/>
      <c r="K450" s="22"/>
      <c r="N450" s="22"/>
    </row>
    <row r="451">
      <c r="E451" s="22"/>
      <c r="K451" s="22"/>
      <c r="N451" s="22"/>
    </row>
    <row r="452">
      <c r="E452" s="22"/>
      <c r="K452" s="22"/>
      <c r="N452" s="22"/>
    </row>
    <row r="453">
      <c r="E453" s="22"/>
      <c r="K453" s="22"/>
      <c r="N453" s="22"/>
    </row>
    <row r="454">
      <c r="E454" s="22"/>
      <c r="K454" s="22"/>
      <c r="N454" s="22"/>
    </row>
    <row r="455">
      <c r="E455" s="22"/>
      <c r="K455" s="22"/>
      <c r="N455" s="22"/>
    </row>
    <row r="456">
      <c r="E456" s="22"/>
      <c r="K456" s="22"/>
      <c r="N456" s="22"/>
    </row>
    <row r="457">
      <c r="E457" s="22"/>
      <c r="K457" s="22"/>
      <c r="N457" s="22"/>
    </row>
    <row r="458">
      <c r="E458" s="22"/>
      <c r="K458" s="22"/>
      <c r="N458" s="22"/>
    </row>
    <row r="459">
      <c r="E459" s="22"/>
      <c r="K459" s="22"/>
      <c r="N459" s="22"/>
    </row>
    <row r="460">
      <c r="E460" s="22"/>
      <c r="K460" s="22"/>
      <c r="N460" s="22"/>
    </row>
    <row r="461">
      <c r="E461" s="22"/>
      <c r="K461" s="22"/>
      <c r="N461" s="22"/>
    </row>
    <row r="462">
      <c r="E462" s="22"/>
      <c r="K462" s="22"/>
      <c r="N462" s="22"/>
    </row>
    <row r="463">
      <c r="E463" s="22"/>
      <c r="K463" s="22"/>
      <c r="N463" s="22"/>
    </row>
    <row r="464">
      <c r="E464" s="22"/>
      <c r="K464" s="22"/>
      <c r="N464" s="22"/>
    </row>
    <row r="465">
      <c r="E465" s="22"/>
      <c r="K465" s="22"/>
      <c r="N465" s="22"/>
    </row>
    <row r="466">
      <c r="E466" s="22"/>
      <c r="K466" s="22"/>
      <c r="N466" s="22"/>
    </row>
    <row r="467">
      <c r="E467" s="22"/>
      <c r="K467" s="22"/>
      <c r="N467" s="22"/>
    </row>
    <row r="468">
      <c r="E468" s="22"/>
      <c r="K468" s="22"/>
      <c r="N468" s="22"/>
    </row>
    <row r="469">
      <c r="E469" s="22"/>
      <c r="K469" s="22"/>
      <c r="N469" s="22"/>
    </row>
    <row r="470">
      <c r="E470" s="22"/>
      <c r="K470" s="22"/>
      <c r="N470" s="22"/>
    </row>
    <row r="471">
      <c r="E471" s="22"/>
      <c r="K471" s="22"/>
      <c r="N471" s="22"/>
    </row>
    <row r="472">
      <c r="E472" s="22"/>
      <c r="K472" s="22"/>
      <c r="N472" s="22"/>
    </row>
    <row r="473">
      <c r="E473" s="22"/>
      <c r="K473" s="22"/>
      <c r="N473" s="22"/>
    </row>
    <row r="474">
      <c r="E474" s="22"/>
      <c r="K474" s="22"/>
      <c r="N474" s="22"/>
    </row>
    <row r="475">
      <c r="E475" s="22"/>
      <c r="K475" s="22"/>
      <c r="N475" s="22"/>
    </row>
    <row r="476">
      <c r="E476" s="22"/>
      <c r="K476" s="22"/>
      <c r="N476" s="22"/>
    </row>
    <row r="477">
      <c r="E477" s="22"/>
      <c r="K477" s="22"/>
      <c r="N477" s="22"/>
    </row>
    <row r="478">
      <c r="E478" s="22"/>
      <c r="K478" s="22"/>
      <c r="N478" s="22"/>
    </row>
    <row r="479">
      <c r="E479" s="22"/>
      <c r="K479" s="22"/>
      <c r="N479" s="22"/>
    </row>
    <row r="480">
      <c r="E480" s="22"/>
      <c r="K480" s="22"/>
      <c r="N480" s="22"/>
    </row>
    <row r="481">
      <c r="E481" s="22"/>
      <c r="K481" s="22"/>
      <c r="N481" s="22"/>
    </row>
    <row r="482">
      <c r="E482" s="22"/>
      <c r="K482" s="22"/>
      <c r="N482" s="22"/>
    </row>
    <row r="483">
      <c r="E483" s="22"/>
      <c r="K483" s="22"/>
      <c r="N483" s="22"/>
    </row>
    <row r="484">
      <c r="E484" s="22"/>
      <c r="K484" s="22"/>
      <c r="N484" s="22"/>
    </row>
    <row r="485">
      <c r="E485" s="22"/>
      <c r="K485" s="22"/>
      <c r="N485" s="22"/>
    </row>
    <row r="486">
      <c r="E486" s="22"/>
      <c r="K486" s="22"/>
      <c r="N486" s="22"/>
    </row>
    <row r="487">
      <c r="E487" s="22"/>
      <c r="K487" s="22"/>
      <c r="N487" s="22"/>
    </row>
    <row r="488">
      <c r="E488" s="22"/>
      <c r="K488" s="22"/>
      <c r="N488" s="22"/>
    </row>
    <row r="489">
      <c r="E489" s="22"/>
      <c r="K489" s="22"/>
      <c r="N489" s="22"/>
    </row>
    <row r="490">
      <c r="E490" s="22"/>
      <c r="K490" s="22"/>
      <c r="N490" s="22"/>
    </row>
    <row r="491">
      <c r="E491" s="22"/>
      <c r="K491" s="22"/>
      <c r="N491" s="22"/>
    </row>
    <row r="492">
      <c r="E492" s="22"/>
      <c r="K492" s="22"/>
      <c r="N492" s="22"/>
    </row>
    <row r="493">
      <c r="E493" s="22"/>
      <c r="K493" s="22"/>
      <c r="N493" s="22"/>
    </row>
    <row r="494">
      <c r="E494" s="22"/>
      <c r="K494" s="22"/>
      <c r="N494" s="22"/>
    </row>
    <row r="495">
      <c r="E495" s="22"/>
      <c r="K495" s="22"/>
      <c r="N495" s="22"/>
    </row>
    <row r="496">
      <c r="E496" s="22"/>
      <c r="K496" s="22"/>
      <c r="N496" s="22"/>
    </row>
    <row r="497">
      <c r="E497" s="22"/>
      <c r="K497" s="22"/>
      <c r="N497" s="22"/>
    </row>
    <row r="498">
      <c r="E498" s="22"/>
      <c r="K498" s="22"/>
      <c r="N498" s="22"/>
    </row>
    <row r="499">
      <c r="E499" s="22"/>
      <c r="K499" s="22"/>
      <c r="N499" s="22"/>
    </row>
    <row r="500">
      <c r="E500" s="22"/>
      <c r="K500" s="22"/>
      <c r="N500" s="22"/>
    </row>
    <row r="501">
      <c r="E501" s="22"/>
      <c r="K501" s="22"/>
      <c r="N501" s="22"/>
    </row>
    <row r="502">
      <c r="E502" s="22"/>
      <c r="K502" s="22"/>
      <c r="N502" s="22"/>
    </row>
    <row r="503">
      <c r="E503" s="22"/>
      <c r="K503" s="22"/>
      <c r="N503" s="22"/>
    </row>
    <row r="504">
      <c r="E504" s="22"/>
      <c r="K504" s="22"/>
      <c r="N504" s="22"/>
    </row>
    <row r="505">
      <c r="E505" s="22"/>
      <c r="K505" s="22"/>
      <c r="N505" s="22"/>
    </row>
    <row r="506">
      <c r="E506" s="22"/>
      <c r="K506" s="22"/>
      <c r="N506" s="22"/>
    </row>
    <row r="507">
      <c r="E507" s="22"/>
      <c r="K507" s="22"/>
      <c r="N507" s="22"/>
    </row>
    <row r="508">
      <c r="E508" s="22"/>
      <c r="K508" s="22"/>
      <c r="N508" s="22"/>
    </row>
    <row r="509">
      <c r="E509" s="22"/>
      <c r="K509" s="22"/>
      <c r="N509" s="22"/>
    </row>
    <row r="510">
      <c r="E510" s="22"/>
      <c r="K510" s="22"/>
      <c r="N510" s="22"/>
    </row>
    <row r="511">
      <c r="E511" s="22"/>
      <c r="K511" s="22"/>
      <c r="N511" s="22"/>
    </row>
    <row r="512">
      <c r="E512" s="22"/>
      <c r="K512" s="22"/>
      <c r="N512" s="22"/>
    </row>
    <row r="513">
      <c r="E513" s="22"/>
      <c r="K513" s="22"/>
      <c r="N513" s="22"/>
    </row>
    <row r="514">
      <c r="E514" s="22"/>
      <c r="K514" s="22"/>
      <c r="N514" s="22"/>
    </row>
    <row r="515">
      <c r="E515" s="22"/>
      <c r="K515" s="22"/>
      <c r="N515" s="22"/>
    </row>
    <row r="516">
      <c r="E516" s="22"/>
      <c r="K516" s="22"/>
      <c r="N516" s="22"/>
    </row>
    <row r="517">
      <c r="E517" s="22"/>
      <c r="K517" s="22"/>
      <c r="N517" s="22"/>
    </row>
    <row r="518">
      <c r="E518" s="22"/>
      <c r="K518" s="22"/>
      <c r="N518" s="22"/>
    </row>
    <row r="519">
      <c r="E519" s="22"/>
      <c r="K519" s="22"/>
      <c r="N519" s="22"/>
    </row>
    <row r="520">
      <c r="E520" s="22"/>
      <c r="K520" s="22"/>
      <c r="N520" s="22"/>
    </row>
    <row r="521">
      <c r="E521" s="22"/>
      <c r="K521" s="22"/>
      <c r="N521" s="22"/>
    </row>
    <row r="522">
      <c r="E522" s="22"/>
      <c r="K522" s="22"/>
      <c r="N522" s="22"/>
    </row>
    <row r="523">
      <c r="E523" s="22"/>
      <c r="K523" s="22"/>
      <c r="N523" s="22"/>
    </row>
    <row r="524">
      <c r="E524" s="22"/>
      <c r="K524" s="22"/>
      <c r="N524" s="22"/>
    </row>
    <row r="525">
      <c r="E525" s="22"/>
      <c r="K525" s="22"/>
      <c r="N525" s="22"/>
    </row>
    <row r="526">
      <c r="E526" s="22"/>
      <c r="K526" s="22"/>
      <c r="N526" s="22"/>
    </row>
    <row r="527">
      <c r="E527" s="22"/>
      <c r="K527" s="22"/>
      <c r="N527" s="22"/>
    </row>
    <row r="528">
      <c r="E528" s="22"/>
      <c r="K528" s="22"/>
      <c r="N528" s="22"/>
    </row>
    <row r="529">
      <c r="E529" s="22"/>
      <c r="K529" s="22"/>
      <c r="N529" s="22"/>
    </row>
    <row r="530">
      <c r="E530" s="22"/>
      <c r="K530" s="22"/>
      <c r="N530" s="22"/>
    </row>
    <row r="531">
      <c r="E531" s="22"/>
      <c r="K531" s="22"/>
      <c r="N531" s="22"/>
    </row>
    <row r="532">
      <c r="E532" s="22"/>
      <c r="K532" s="22"/>
      <c r="N532" s="22"/>
    </row>
    <row r="533">
      <c r="E533" s="22"/>
      <c r="K533" s="22"/>
      <c r="N533" s="22"/>
    </row>
    <row r="534">
      <c r="E534" s="22"/>
      <c r="K534" s="22"/>
      <c r="N534" s="22"/>
    </row>
    <row r="535">
      <c r="E535" s="22"/>
      <c r="K535" s="22"/>
      <c r="N535" s="22"/>
    </row>
    <row r="536">
      <c r="E536" s="22"/>
      <c r="K536" s="22"/>
      <c r="N536" s="22"/>
    </row>
    <row r="537">
      <c r="E537" s="22"/>
      <c r="K537" s="22"/>
      <c r="N537" s="22"/>
    </row>
    <row r="538">
      <c r="E538" s="22"/>
      <c r="K538" s="22"/>
      <c r="N538" s="22"/>
    </row>
    <row r="539">
      <c r="E539" s="22"/>
      <c r="K539" s="22"/>
      <c r="N539" s="22"/>
    </row>
    <row r="540">
      <c r="E540" s="22"/>
      <c r="K540" s="22"/>
      <c r="N540" s="22"/>
    </row>
    <row r="541">
      <c r="E541" s="22"/>
      <c r="K541" s="22"/>
      <c r="N541" s="22"/>
    </row>
    <row r="542">
      <c r="E542" s="22"/>
      <c r="K542" s="22"/>
      <c r="N542" s="22"/>
    </row>
    <row r="543">
      <c r="E543" s="22"/>
      <c r="K543" s="22"/>
      <c r="N543" s="22"/>
    </row>
    <row r="544">
      <c r="E544" s="22"/>
      <c r="K544" s="22"/>
      <c r="N544" s="22"/>
    </row>
    <row r="545">
      <c r="E545" s="22"/>
      <c r="K545" s="22"/>
      <c r="N545" s="22"/>
    </row>
    <row r="546">
      <c r="E546" s="22"/>
      <c r="K546" s="22"/>
      <c r="N546" s="22"/>
    </row>
    <row r="547">
      <c r="E547" s="22"/>
      <c r="K547" s="22"/>
      <c r="N547" s="22"/>
    </row>
    <row r="548">
      <c r="E548" s="22"/>
      <c r="K548" s="22"/>
      <c r="N548" s="22"/>
    </row>
    <row r="549">
      <c r="E549" s="22"/>
      <c r="K549" s="22"/>
      <c r="N549" s="22"/>
    </row>
    <row r="550">
      <c r="E550" s="22"/>
      <c r="K550" s="22"/>
      <c r="N550" s="22"/>
    </row>
    <row r="551">
      <c r="E551" s="22"/>
      <c r="K551" s="22"/>
      <c r="N551" s="22"/>
    </row>
    <row r="552">
      <c r="E552" s="22"/>
      <c r="K552" s="22"/>
      <c r="N552" s="22"/>
    </row>
    <row r="553">
      <c r="E553" s="22"/>
      <c r="K553" s="22"/>
      <c r="N553" s="22"/>
    </row>
    <row r="554">
      <c r="E554" s="22"/>
      <c r="K554" s="22"/>
      <c r="N554" s="22"/>
    </row>
    <row r="555">
      <c r="E555" s="22"/>
      <c r="K555" s="22"/>
      <c r="N555" s="22"/>
    </row>
    <row r="556">
      <c r="E556" s="22"/>
      <c r="K556" s="22"/>
      <c r="N556" s="22"/>
    </row>
    <row r="557">
      <c r="E557" s="22"/>
      <c r="K557" s="22"/>
      <c r="N557" s="22"/>
    </row>
    <row r="558">
      <c r="E558" s="22"/>
      <c r="K558" s="22"/>
      <c r="N558" s="22"/>
    </row>
    <row r="559">
      <c r="E559" s="22"/>
      <c r="K559" s="22"/>
      <c r="N559" s="22"/>
    </row>
    <row r="560">
      <c r="E560" s="22"/>
      <c r="K560" s="22"/>
      <c r="N560" s="22"/>
    </row>
    <row r="561">
      <c r="E561" s="22"/>
      <c r="K561" s="22"/>
      <c r="N561" s="22"/>
    </row>
    <row r="562">
      <c r="E562" s="22"/>
      <c r="K562" s="22"/>
      <c r="N562" s="22"/>
    </row>
    <row r="563">
      <c r="E563" s="22"/>
      <c r="K563" s="22"/>
      <c r="N563" s="22"/>
    </row>
    <row r="564">
      <c r="E564" s="22"/>
      <c r="K564" s="22"/>
      <c r="N564" s="22"/>
    </row>
    <row r="565">
      <c r="E565" s="22"/>
      <c r="K565" s="22"/>
      <c r="N565" s="22"/>
    </row>
    <row r="566">
      <c r="E566" s="22"/>
      <c r="K566" s="22"/>
      <c r="N566" s="22"/>
    </row>
    <row r="567">
      <c r="E567" s="22"/>
      <c r="K567" s="22"/>
      <c r="N567" s="22"/>
    </row>
    <row r="568">
      <c r="E568" s="22"/>
      <c r="K568" s="22"/>
      <c r="N568" s="22"/>
    </row>
    <row r="569">
      <c r="E569" s="22"/>
      <c r="K569" s="22"/>
      <c r="N569" s="22"/>
    </row>
    <row r="570">
      <c r="E570" s="22"/>
      <c r="K570" s="22"/>
      <c r="N570" s="22"/>
    </row>
    <row r="571">
      <c r="E571" s="22"/>
      <c r="K571" s="22"/>
      <c r="N571" s="22"/>
    </row>
    <row r="572">
      <c r="E572" s="22"/>
      <c r="K572" s="22"/>
      <c r="N572" s="22"/>
    </row>
    <row r="573">
      <c r="E573" s="22"/>
      <c r="K573" s="22"/>
      <c r="N573" s="22"/>
    </row>
    <row r="574">
      <c r="E574" s="22"/>
      <c r="K574" s="22"/>
      <c r="N574" s="22"/>
    </row>
    <row r="575">
      <c r="E575" s="22"/>
      <c r="K575" s="22"/>
      <c r="N575" s="22"/>
    </row>
    <row r="576">
      <c r="E576" s="22"/>
      <c r="K576" s="22"/>
      <c r="N576" s="22"/>
    </row>
    <row r="577">
      <c r="E577" s="22"/>
      <c r="K577" s="22"/>
      <c r="N577" s="22"/>
    </row>
    <row r="578">
      <c r="E578" s="22"/>
      <c r="K578" s="22"/>
      <c r="N578" s="22"/>
    </row>
    <row r="579">
      <c r="E579" s="22"/>
      <c r="K579" s="22"/>
      <c r="N579" s="22"/>
    </row>
    <row r="580">
      <c r="E580" s="22"/>
      <c r="K580" s="22"/>
      <c r="N580" s="22"/>
    </row>
    <row r="581">
      <c r="E581" s="22"/>
      <c r="K581" s="22"/>
      <c r="N581" s="22"/>
    </row>
    <row r="582">
      <c r="E582" s="22"/>
      <c r="K582" s="22"/>
      <c r="N582" s="22"/>
    </row>
    <row r="583">
      <c r="E583" s="22"/>
      <c r="K583" s="22"/>
      <c r="N583" s="22"/>
    </row>
    <row r="584">
      <c r="E584" s="22"/>
      <c r="K584" s="22"/>
      <c r="N584" s="22"/>
    </row>
    <row r="585">
      <c r="E585" s="22"/>
      <c r="K585" s="22"/>
      <c r="N585" s="22"/>
    </row>
    <row r="586">
      <c r="E586" s="22"/>
      <c r="K586" s="22"/>
      <c r="N586" s="22"/>
    </row>
    <row r="587">
      <c r="E587" s="22"/>
      <c r="K587" s="22"/>
      <c r="N587" s="22"/>
    </row>
    <row r="588">
      <c r="E588" s="22"/>
      <c r="K588" s="22"/>
      <c r="N588" s="22"/>
    </row>
    <row r="589">
      <c r="E589" s="22"/>
      <c r="K589" s="22"/>
      <c r="N589" s="22"/>
    </row>
    <row r="590">
      <c r="E590" s="22"/>
      <c r="K590" s="22"/>
      <c r="N590" s="22"/>
    </row>
    <row r="591">
      <c r="E591" s="22"/>
      <c r="K591" s="22"/>
      <c r="N591" s="22"/>
    </row>
    <row r="592">
      <c r="E592" s="22"/>
      <c r="K592" s="22"/>
      <c r="N592" s="22"/>
    </row>
    <row r="593">
      <c r="E593" s="22"/>
      <c r="K593" s="22"/>
      <c r="N593" s="22"/>
    </row>
    <row r="594">
      <c r="E594" s="22"/>
      <c r="K594" s="22"/>
      <c r="N594" s="22"/>
    </row>
    <row r="595">
      <c r="E595" s="22"/>
      <c r="K595" s="22"/>
      <c r="N595" s="22"/>
    </row>
    <row r="596">
      <c r="E596" s="22"/>
      <c r="K596" s="22"/>
      <c r="N596" s="22"/>
    </row>
    <row r="597">
      <c r="E597" s="22"/>
      <c r="K597" s="22"/>
      <c r="N597" s="22"/>
    </row>
    <row r="598">
      <c r="E598" s="22"/>
      <c r="K598" s="22"/>
      <c r="N598" s="22"/>
    </row>
    <row r="599">
      <c r="E599" s="22"/>
      <c r="K599" s="22"/>
      <c r="N599" s="22"/>
    </row>
    <row r="600">
      <c r="E600" s="22"/>
      <c r="K600" s="22"/>
      <c r="N600" s="22"/>
    </row>
    <row r="601">
      <c r="E601" s="22"/>
      <c r="K601" s="22"/>
      <c r="N601" s="22"/>
    </row>
    <row r="602">
      <c r="E602" s="22"/>
      <c r="K602" s="22"/>
      <c r="N602" s="22"/>
    </row>
    <row r="603">
      <c r="E603" s="22"/>
      <c r="K603" s="22"/>
      <c r="N603" s="22"/>
    </row>
    <row r="604">
      <c r="E604" s="22"/>
      <c r="K604" s="22"/>
      <c r="N604" s="22"/>
    </row>
    <row r="605">
      <c r="E605" s="22"/>
      <c r="K605" s="22"/>
      <c r="N605" s="22"/>
    </row>
    <row r="606">
      <c r="E606" s="22"/>
      <c r="K606" s="22"/>
      <c r="N606" s="22"/>
    </row>
    <row r="607">
      <c r="E607" s="22"/>
      <c r="K607" s="22"/>
      <c r="N607" s="22"/>
    </row>
    <row r="608">
      <c r="E608" s="22"/>
      <c r="K608" s="22"/>
      <c r="N608" s="22"/>
    </row>
    <row r="609">
      <c r="E609" s="22"/>
      <c r="K609" s="22"/>
      <c r="N609" s="22"/>
    </row>
    <row r="610">
      <c r="E610" s="22"/>
      <c r="K610" s="22"/>
      <c r="N610" s="22"/>
    </row>
    <row r="611">
      <c r="E611" s="22"/>
      <c r="K611" s="22"/>
      <c r="N611" s="22"/>
    </row>
    <row r="612">
      <c r="E612" s="22"/>
      <c r="K612" s="22"/>
      <c r="N612" s="22"/>
    </row>
    <row r="613">
      <c r="E613" s="22"/>
      <c r="K613" s="22"/>
      <c r="N613" s="22"/>
    </row>
    <row r="614">
      <c r="E614" s="22"/>
      <c r="K614" s="22"/>
      <c r="N614" s="22"/>
    </row>
    <row r="615">
      <c r="E615" s="22"/>
      <c r="K615" s="22"/>
      <c r="N615" s="22"/>
    </row>
    <row r="616">
      <c r="E616" s="22"/>
      <c r="K616" s="22"/>
      <c r="N616" s="22"/>
    </row>
    <row r="617">
      <c r="E617" s="22"/>
      <c r="K617" s="22"/>
      <c r="N617" s="22"/>
    </row>
    <row r="618">
      <c r="E618" s="22"/>
      <c r="K618" s="22"/>
      <c r="N618" s="22"/>
    </row>
    <row r="619">
      <c r="E619" s="22"/>
      <c r="K619" s="22"/>
      <c r="N619" s="22"/>
    </row>
    <row r="620">
      <c r="E620" s="22"/>
      <c r="K620" s="22"/>
      <c r="N620" s="22"/>
    </row>
    <row r="621">
      <c r="E621" s="22"/>
      <c r="K621" s="22"/>
      <c r="N621" s="22"/>
    </row>
    <row r="622">
      <c r="E622" s="22"/>
      <c r="K622" s="22"/>
      <c r="N622" s="22"/>
    </row>
    <row r="623">
      <c r="E623" s="22"/>
      <c r="K623" s="22"/>
      <c r="N623" s="22"/>
    </row>
    <row r="624">
      <c r="E624" s="22"/>
      <c r="K624" s="22"/>
      <c r="N624" s="22"/>
    </row>
    <row r="625">
      <c r="E625" s="22"/>
      <c r="K625" s="22"/>
      <c r="N625" s="22"/>
    </row>
    <row r="626">
      <c r="E626" s="22"/>
      <c r="K626" s="22"/>
      <c r="N626" s="22"/>
    </row>
    <row r="627">
      <c r="E627" s="22"/>
      <c r="K627" s="22"/>
      <c r="N627" s="22"/>
    </row>
    <row r="628">
      <c r="E628" s="22"/>
      <c r="K628" s="22"/>
      <c r="N628" s="22"/>
    </row>
    <row r="629">
      <c r="E629" s="22"/>
      <c r="K629" s="22"/>
      <c r="N629" s="22"/>
    </row>
    <row r="630">
      <c r="E630" s="22"/>
      <c r="K630" s="22"/>
      <c r="N630" s="22"/>
    </row>
    <row r="631">
      <c r="E631" s="22"/>
      <c r="K631" s="22"/>
      <c r="N631" s="22"/>
    </row>
    <row r="632">
      <c r="E632" s="22"/>
      <c r="K632" s="22"/>
      <c r="N632" s="22"/>
    </row>
    <row r="633">
      <c r="E633" s="22"/>
      <c r="K633" s="22"/>
      <c r="N633" s="22"/>
    </row>
    <row r="634">
      <c r="E634" s="22"/>
      <c r="K634" s="22"/>
      <c r="N634" s="22"/>
    </row>
    <row r="635">
      <c r="E635" s="22"/>
      <c r="K635" s="22"/>
      <c r="N635" s="22"/>
    </row>
    <row r="636">
      <c r="E636" s="22"/>
      <c r="K636" s="22"/>
      <c r="N636" s="22"/>
    </row>
    <row r="637">
      <c r="E637" s="22"/>
      <c r="K637" s="22"/>
      <c r="N637" s="22"/>
    </row>
    <row r="638">
      <c r="E638" s="22"/>
      <c r="K638" s="22"/>
      <c r="N638" s="22"/>
    </row>
    <row r="639">
      <c r="E639" s="22"/>
      <c r="K639" s="22"/>
      <c r="N639" s="22"/>
    </row>
    <row r="640">
      <c r="E640" s="22"/>
      <c r="K640" s="22"/>
      <c r="N640" s="22"/>
    </row>
    <row r="641">
      <c r="E641" s="22"/>
      <c r="K641" s="22"/>
      <c r="N641" s="22"/>
    </row>
    <row r="642">
      <c r="E642" s="22"/>
      <c r="K642" s="22"/>
      <c r="N642" s="22"/>
    </row>
    <row r="643">
      <c r="E643" s="22"/>
      <c r="K643" s="22"/>
      <c r="N643" s="22"/>
    </row>
    <row r="644">
      <c r="E644" s="22"/>
      <c r="K644" s="22"/>
      <c r="N644" s="22"/>
    </row>
    <row r="645">
      <c r="E645" s="22"/>
      <c r="K645" s="22"/>
      <c r="N645" s="22"/>
    </row>
    <row r="646">
      <c r="E646" s="22"/>
      <c r="K646" s="22"/>
      <c r="N646" s="22"/>
    </row>
    <row r="647">
      <c r="E647" s="22"/>
      <c r="K647" s="22"/>
      <c r="N647" s="22"/>
    </row>
    <row r="648">
      <c r="E648" s="22"/>
      <c r="K648" s="22"/>
      <c r="N648" s="22"/>
    </row>
    <row r="649">
      <c r="E649" s="22"/>
      <c r="K649" s="22"/>
      <c r="N649" s="22"/>
    </row>
    <row r="650">
      <c r="E650" s="22"/>
      <c r="K650" s="22"/>
      <c r="N650" s="22"/>
    </row>
    <row r="651">
      <c r="E651" s="22"/>
      <c r="K651" s="22"/>
      <c r="N651" s="22"/>
    </row>
    <row r="652">
      <c r="E652" s="22"/>
      <c r="K652" s="22"/>
      <c r="N652" s="22"/>
    </row>
    <row r="653">
      <c r="E653" s="22"/>
      <c r="K653" s="22"/>
      <c r="N653" s="22"/>
    </row>
    <row r="654">
      <c r="E654" s="22"/>
      <c r="K654" s="22"/>
      <c r="N654" s="22"/>
    </row>
    <row r="655">
      <c r="E655" s="22"/>
      <c r="K655" s="22"/>
      <c r="N655" s="22"/>
    </row>
    <row r="656">
      <c r="E656" s="22"/>
      <c r="K656" s="22"/>
      <c r="N656" s="22"/>
    </row>
    <row r="657">
      <c r="E657" s="22"/>
      <c r="K657" s="22"/>
      <c r="N657" s="22"/>
    </row>
    <row r="658">
      <c r="E658" s="22"/>
      <c r="K658" s="22"/>
      <c r="N658" s="22"/>
    </row>
    <row r="659">
      <c r="E659" s="22"/>
      <c r="K659" s="22"/>
      <c r="N659" s="22"/>
    </row>
    <row r="660">
      <c r="E660" s="22"/>
      <c r="K660" s="22"/>
      <c r="N660" s="22"/>
    </row>
    <row r="661">
      <c r="E661" s="22"/>
      <c r="K661" s="22"/>
      <c r="N661" s="22"/>
    </row>
    <row r="662">
      <c r="E662" s="22"/>
      <c r="K662" s="22"/>
      <c r="N662" s="22"/>
    </row>
    <row r="663">
      <c r="E663" s="22"/>
      <c r="K663" s="22"/>
      <c r="N663" s="22"/>
    </row>
    <row r="664">
      <c r="E664" s="22"/>
      <c r="K664" s="22"/>
      <c r="N664" s="22"/>
    </row>
    <row r="665">
      <c r="E665" s="22"/>
      <c r="K665" s="22"/>
      <c r="N665" s="22"/>
    </row>
    <row r="666">
      <c r="E666" s="22"/>
      <c r="K666" s="22"/>
      <c r="N666" s="22"/>
    </row>
    <row r="667">
      <c r="E667" s="22"/>
      <c r="K667" s="22"/>
      <c r="N667" s="22"/>
    </row>
    <row r="668">
      <c r="E668" s="22"/>
      <c r="K668" s="22"/>
      <c r="N668" s="22"/>
    </row>
    <row r="669">
      <c r="E669" s="22"/>
      <c r="K669" s="22"/>
      <c r="N669" s="22"/>
    </row>
    <row r="670">
      <c r="E670" s="22"/>
      <c r="K670" s="22"/>
      <c r="N670" s="22"/>
    </row>
    <row r="671">
      <c r="E671" s="22"/>
      <c r="K671" s="22"/>
      <c r="N671" s="22"/>
    </row>
    <row r="672">
      <c r="E672" s="22"/>
      <c r="K672" s="22"/>
      <c r="N672" s="22"/>
    </row>
    <row r="673">
      <c r="E673" s="22"/>
      <c r="K673" s="22"/>
      <c r="N673" s="22"/>
    </row>
    <row r="674">
      <c r="E674" s="22"/>
      <c r="K674" s="22"/>
      <c r="N674" s="22"/>
    </row>
    <row r="675">
      <c r="E675" s="22"/>
      <c r="K675" s="22"/>
      <c r="N675" s="22"/>
    </row>
    <row r="676">
      <c r="E676" s="22"/>
      <c r="K676" s="22"/>
      <c r="N676" s="22"/>
    </row>
    <row r="677">
      <c r="E677" s="22"/>
      <c r="K677" s="22"/>
      <c r="N677" s="22"/>
    </row>
    <row r="678">
      <c r="E678" s="22"/>
      <c r="K678" s="22"/>
      <c r="N678" s="22"/>
    </row>
    <row r="679">
      <c r="E679" s="22"/>
      <c r="K679" s="22"/>
      <c r="N679" s="22"/>
    </row>
    <row r="680">
      <c r="E680" s="22"/>
      <c r="K680" s="22"/>
      <c r="N680" s="22"/>
    </row>
    <row r="681">
      <c r="E681" s="22"/>
      <c r="K681" s="22"/>
      <c r="N681" s="22"/>
    </row>
    <row r="682">
      <c r="E682" s="22"/>
      <c r="K682" s="22"/>
      <c r="N682" s="22"/>
    </row>
    <row r="683">
      <c r="E683" s="22"/>
      <c r="K683" s="22"/>
      <c r="N683" s="22"/>
    </row>
    <row r="684">
      <c r="E684" s="22"/>
      <c r="K684" s="22"/>
      <c r="N684" s="22"/>
    </row>
    <row r="685">
      <c r="E685" s="22"/>
      <c r="K685" s="22"/>
      <c r="N685" s="22"/>
    </row>
    <row r="686">
      <c r="E686" s="22"/>
      <c r="K686" s="22"/>
      <c r="N686" s="22"/>
    </row>
    <row r="687">
      <c r="E687" s="22"/>
      <c r="K687" s="22"/>
      <c r="N687" s="22"/>
    </row>
    <row r="688">
      <c r="E688" s="22"/>
      <c r="K688" s="22"/>
      <c r="N688" s="22"/>
    </row>
    <row r="689">
      <c r="E689" s="22"/>
      <c r="K689" s="22"/>
      <c r="N689" s="22"/>
    </row>
    <row r="690">
      <c r="E690" s="22"/>
      <c r="K690" s="22"/>
      <c r="N690" s="22"/>
    </row>
    <row r="691">
      <c r="E691" s="22"/>
      <c r="K691" s="22"/>
      <c r="N691" s="22"/>
    </row>
    <row r="692">
      <c r="E692" s="22"/>
      <c r="K692" s="22"/>
      <c r="N692" s="22"/>
    </row>
    <row r="693">
      <c r="E693" s="22"/>
      <c r="K693" s="22"/>
      <c r="N693" s="22"/>
    </row>
    <row r="694">
      <c r="E694" s="22"/>
      <c r="K694" s="22"/>
      <c r="N694" s="22"/>
    </row>
    <row r="695">
      <c r="E695" s="22"/>
      <c r="K695" s="22"/>
      <c r="N695" s="22"/>
    </row>
    <row r="696">
      <c r="E696" s="22"/>
      <c r="K696" s="22"/>
      <c r="N696" s="22"/>
    </row>
    <row r="697">
      <c r="E697" s="22"/>
      <c r="K697" s="22"/>
      <c r="N697" s="22"/>
    </row>
    <row r="698">
      <c r="E698" s="22"/>
      <c r="K698" s="22"/>
      <c r="N698" s="22"/>
    </row>
    <row r="699">
      <c r="E699" s="22"/>
      <c r="K699" s="22"/>
      <c r="N699" s="22"/>
    </row>
    <row r="700">
      <c r="E700" s="22"/>
      <c r="K700" s="22"/>
      <c r="N700" s="22"/>
    </row>
    <row r="701">
      <c r="E701" s="22"/>
      <c r="K701" s="22"/>
      <c r="N701" s="22"/>
    </row>
    <row r="702">
      <c r="E702" s="22"/>
      <c r="K702" s="22"/>
      <c r="N702" s="22"/>
    </row>
    <row r="703">
      <c r="E703" s="22"/>
      <c r="K703" s="22"/>
      <c r="N703" s="22"/>
    </row>
    <row r="704">
      <c r="E704" s="22"/>
      <c r="K704" s="22"/>
      <c r="N704" s="22"/>
    </row>
    <row r="705">
      <c r="E705" s="22"/>
      <c r="K705" s="22"/>
      <c r="N705" s="22"/>
    </row>
    <row r="706">
      <c r="E706" s="22"/>
      <c r="K706" s="22"/>
      <c r="N706" s="22"/>
    </row>
    <row r="707">
      <c r="E707" s="22"/>
      <c r="K707" s="22"/>
      <c r="N707" s="22"/>
    </row>
    <row r="708">
      <c r="E708" s="22"/>
      <c r="K708" s="22"/>
      <c r="N708" s="22"/>
    </row>
    <row r="709">
      <c r="E709" s="22"/>
      <c r="K709" s="22"/>
      <c r="N709" s="22"/>
    </row>
    <row r="710">
      <c r="E710" s="22"/>
      <c r="K710" s="22"/>
      <c r="N710" s="22"/>
    </row>
    <row r="711">
      <c r="E711" s="22"/>
      <c r="K711" s="22"/>
      <c r="N711" s="22"/>
    </row>
    <row r="712">
      <c r="E712" s="22"/>
      <c r="K712" s="22"/>
      <c r="N712" s="22"/>
    </row>
    <row r="713">
      <c r="E713" s="22"/>
      <c r="K713" s="22"/>
      <c r="N713" s="22"/>
    </row>
    <row r="714">
      <c r="E714" s="22"/>
      <c r="K714" s="22"/>
      <c r="N714" s="22"/>
    </row>
    <row r="715">
      <c r="E715" s="22"/>
      <c r="K715" s="22"/>
      <c r="N715" s="22"/>
    </row>
    <row r="716">
      <c r="E716" s="22"/>
      <c r="K716" s="22"/>
      <c r="N716" s="22"/>
    </row>
    <row r="717">
      <c r="E717" s="22"/>
      <c r="K717" s="22"/>
      <c r="N717" s="22"/>
    </row>
    <row r="718">
      <c r="E718" s="22"/>
      <c r="K718" s="22"/>
      <c r="N718" s="22"/>
    </row>
    <row r="719">
      <c r="E719" s="22"/>
      <c r="K719" s="22"/>
      <c r="N719" s="22"/>
    </row>
    <row r="720">
      <c r="E720" s="22"/>
      <c r="K720" s="22"/>
      <c r="N720" s="22"/>
    </row>
    <row r="721">
      <c r="E721" s="22"/>
      <c r="K721" s="22"/>
      <c r="N721" s="22"/>
    </row>
    <row r="722">
      <c r="E722" s="22"/>
      <c r="K722" s="22"/>
      <c r="N722" s="22"/>
    </row>
    <row r="723">
      <c r="E723" s="22"/>
      <c r="K723" s="22"/>
      <c r="N723" s="22"/>
    </row>
    <row r="724">
      <c r="E724" s="22"/>
      <c r="K724" s="22"/>
      <c r="N724" s="22"/>
    </row>
    <row r="725">
      <c r="E725" s="22"/>
      <c r="K725" s="22"/>
      <c r="N725" s="22"/>
    </row>
    <row r="726">
      <c r="E726" s="22"/>
      <c r="K726" s="22"/>
      <c r="N726" s="22"/>
    </row>
    <row r="727">
      <c r="E727" s="22"/>
      <c r="K727" s="22"/>
      <c r="N727" s="22"/>
    </row>
    <row r="728">
      <c r="E728" s="22"/>
      <c r="K728" s="22"/>
      <c r="N728" s="22"/>
    </row>
    <row r="729">
      <c r="E729" s="22"/>
      <c r="K729" s="22"/>
      <c r="N729" s="22"/>
    </row>
    <row r="730">
      <c r="E730" s="22"/>
      <c r="K730" s="22"/>
      <c r="N730" s="22"/>
    </row>
    <row r="731">
      <c r="E731" s="22"/>
      <c r="K731" s="22"/>
      <c r="N731" s="22"/>
    </row>
    <row r="732">
      <c r="E732" s="22"/>
      <c r="K732" s="22"/>
      <c r="N732" s="22"/>
    </row>
    <row r="733">
      <c r="E733" s="22"/>
      <c r="K733" s="22"/>
      <c r="N733" s="22"/>
    </row>
    <row r="734">
      <c r="E734" s="22"/>
      <c r="K734" s="22"/>
      <c r="N734" s="22"/>
    </row>
    <row r="735">
      <c r="E735" s="22"/>
      <c r="K735" s="22"/>
      <c r="N735" s="22"/>
    </row>
    <row r="736">
      <c r="E736" s="22"/>
      <c r="K736" s="22"/>
      <c r="N736" s="22"/>
    </row>
    <row r="737">
      <c r="E737" s="22"/>
      <c r="K737" s="22"/>
      <c r="N737" s="22"/>
    </row>
    <row r="738">
      <c r="E738" s="22"/>
      <c r="K738" s="22"/>
      <c r="N738" s="22"/>
    </row>
    <row r="739">
      <c r="E739" s="22"/>
      <c r="K739" s="22"/>
      <c r="N739" s="22"/>
    </row>
    <row r="740">
      <c r="E740" s="22"/>
      <c r="K740" s="22"/>
      <c r="N740" s="22"/>
    </row>
    <row r="741">
      <c r="E741" s="22"/>
      <c r="K741" s="22"/>
      <c r="N741" s="22"/>
    </row>
    <row r="742">
      <c r="E742" s="22"/>
      <c r="K742" s="22"/>
      <c r="N742" s="22"/>
    </row>
    <row r="743">
      <c r="E743" s="22"/>
      <c r="K743" s="22"/>
      <c r="N743" s="22"/>
    </row>
    <row r="744">
      <c r="E744" s="22"/>
      <c r="K744" s="22"/>
      <c r="N744" s="22"/>
    </row>
    <row r="745">
      <c r="E745" s="22"/>
      <c r="K745" s="22"/>
      <c r="N745" s="22"/>
    </row>
    <row r="746">
      <c r="E746" s="22"/>
      <c r="K746" s="22"/>
      <c r="N746" s="22"/>
    </row>
    <row r="747">
      <c r="E747" s="22"/>
      <c r="K747" s="22"/>
      <c r="N747" s="22"/>
    </row>
    <row r="748">
      <c r="E748" s="22"/>
      <c r="K748" s="22"/>
      <c r="N748" s="22"/>
    </row>
    <row r="749">
      <c r="E749" s="22"/>
      <c r="K749" s="22"/>
      <c r="N749" s="22"/>
    </row>
    <row r="750">
      <c r="E750" s="22"/>
      <c r="K750" s="22"/>
      <c r="N750" s="22"/>
    </row>
    <row r="751">
      <c r="E751" s="22"/>
      <c r="K751" s="22"/>
      <c r="N751" s="22"/>
    </row>
    <row r="752">
      <c r="E752" s="22"/>
      <c r="K752" s="22"/>
      <c r="N752" s="22"/>
    </row>
    <row r="753">
      <c r="E753" s="22"/>
      <c r="K753" s="22"/>
      <c r="N753" s="22"/>
    </row>
    <row r="754">
      <c r="E754" s="22"/>
      <c r="K754" s="22"/>
      <c r="N754" s="22"/>
    </row>
    <row r="755">
      <c r="E755" s="22"/>
      <c r="K755" s="22"/>
      <c r="N755" s="22"/>
    </row>
    <row r="756">
      <c r="E756" s="22"/>
      <c r="K756" s="22"/>
      <c r="N756" s="22"/>
    </row>
    <row r="757">
      <c r="E757" s="22"/>
      <c r="K757" s="22"/>
      <c r="N757" s="22"/>
    </row>
    <row r="758">
      <c r="E758" s="22"/>
      <c r="K758" s="22"/>
      <c r="N758" s="22"/>
    </row>
    <row r="759">
      <c r="E759" s="22"/>
      <c r="K759" s="22"/>
      <c r="N759" s="22"/>
    </row>
    <row r="760">
      <c r="E760" s="22"/>
      <c r="K760" s="22"/>
      <c r="N760" s="22"/>
    </row>
    <row r="761">
      <c r="E761" s="22"/>
      <c r="K761" s="22"/>
      <c r="N761" s="22"/>
    </row>
    <row r="762">
      <c r="E762" s="22"/>
      <c r="K762" s="22"/>
      <c r="N762" s="22"/>
    </row>
    <row r="763">
      <c r="E763" s="22"/>
      <c r="K763" s="22"/>
      <c r="N763" s="22"/>
    </row>
    <row r="764">
      <c r="E764" s="22"/>
      <c r="K764" s="22"/>
      <c r="N764" s="22"/>
    </row>
    <row r="765">
      <c r="E765" s="22"/>
      <c r="K765" s="22"/>
      <c r="N765" s="22"/>
    </row>
    <row r="766">
      <c r="E766" s="22"/>
      <c r="K766" s="22"/>
      <c r="N766" s="22"/>
    </row>
    <row r="767">
      <c r="E767" s="22"/>
      <c r="K767" s="22"/>
      <c r="N767" s="22"/>
    </row>
    <row r="768">
      <c r="E768" s="22"/>
      <c r="K768" s="22"/>
      <c r="N768" s="22"/>
    </row>
    <row r="769">
      <c r="E769" s="22"/>
      <c r="K769" s="22"/>
      <c r="N769" s="22"/>
    </row>
    <row r="770">
      <c r="E770" s="22"/>
      <c r="K770" s="22"/>
      <c r="N770" s="22"/>
    </row>
    <row r="771">
      <c r="E771" s="22"/>
      <c r="K771" s="22"/>
      <c r="N771" s="22"/>
    </row>
    <row r="772">
      <c r="E772" s="22"/>
      <c r="K772" s="22"/>
      <c r="N772" s="22"/>
    </row>
    <row r="773">
      <c r="E773" s="22"/>
      <c r="K773" s="22"/>
      <c r="N773" s="22"/>
    </row>
    <row r="774">
      <c r="E774" s="22"/>
      <c r="K774" s="22"/>
      <c r="N774" s="22"/>
    </row>
    <row r="775">
      <c r="E775" s="22"/>
      <c r="K775" s="22"/>
      <c r="N775" s="22"/>
    </row>
    <row r="776">
      <c r="E776" s="22"/>
      <c r="K776" s="22"/>
      <c r="N776" s="22"/>
    </row>
    <row r="777">
      <c r="E777" s="22"/>
      <c r="K777" s="22"/>
      <c r="N777" s="22"/>
    </row>
    <row r="778">
      <c r="E778" s="22"/>
      <c r="K778" s="22"/>
      <c r="N778" s="22"/>
    </row>
    <row r="779">
      <c r="E779" s="22"/>
      <c r="K779" s="22"/>
      <c r="N779" s="22"/>
    </row>
    <row r="780">
      <c r="E780" s="22"/>
      <c r="K780" s="22"/>
      <c r="N780" s="22"/>
    </row>
    <row r="781">
      <c r="E781" s="22"/>
      <c r="K781" s="22"/>
      <c r="N781" s="22"/>
    </row>
    <row r="782">
      <c r="E782" s="22"/>
      <c r="K782" s="22"/>
      <c r="N782" s="22"/>
    </row>
    <row r="783">
      <c r="E783" s="22"/>
      <c r="K783" s="22"/>
      <c r="N783" s="22"/>
    </row>
    <row r="784">
      <c r="E784" s="22"/>
      <c r="K784" s="22"/>
      <c r="N784" s="22"/>
    </row>
    <row r="785">
      <c r="E785" s="22"/>
      <c r="K785" s="22"/>
      <c r="N785" s="22"/>
    </row>
    <row r="786">
      <c r="E786" s="22"/>
      <c r="K786" s="22"/>
      <c r="N786" s="22"/>
    </row>
    <row r="787">
      <c r="E787" s="22"/>
      <c r="K787" s="22"/>
      <c r="N787" s="22"/>
    </row>
    <row r="788">
      <c r="E788" s="22"/>
      <c r="K788" s="22"/>
      <c r="N788" s="22"/>
    </row>
    <row r="789">
      <c r="E789" s="22"/>
      <c r="K789" s="22"/>
      <c r="N789" s="22"/>
    </row>
    <row r="790">
      <c r="E790" s="22"/>
      <c r="K790" s="22"/>
      <c r="N790" s="22"/>
    </row>
    <row r="791">
      <c r="E791" s="22"/>
      <c r="K791" s="22"/>
      <c r="N791" s="22"/>
    </row>
    <row r="792">
      <c r="E792" s="22"/>
      <c r="K792" s="22"/>
      <c r="N792" s="22"/>
    </row>
    <row r="793">
      <c r="E793" s="22"/>
      <c r="K793" s="22"/>
      <c r="N793" s="22"/>
    </row>
    <row r="794">
      <c r="E794" s="22"/>
      <c r="K794" s="22"/>
      <c r="N794" s="22"/>
    </row>
    <row r="795">
      <c r="E795" s="22"/>
      <c r="K795" s="22"/>
      <c r="N795" s="22"/>
    </row>
    <row r="796">
      <c r="E796" s="22"/>
      <c r="K796" s="22"/>
      <c r="N796" s="22"/>
    </row>
    <row r="797">
      <c r="E797" s="22"/>
      <c r="K797" s="22"/>
      <c r="N797" s="22"/>
    </row>
    <row r="798">
      <c r="E798" s="22"/>
      <c r="K798" s="22"/>
      <c r="N798" s="22"/>
    </row>
    <row r="799">
      <c r="E799" s="22"/>
      <c r="K799" s="22"/>
      <c r="N799" s="22"/>
    </row>
    <row r="800">
      <c r="E800" s="22"/>
      <c r="K800" s="22"/>
      <c r="N800" s="22"/>
    </row>
    <row r="801">
      <c r="E801" s="22"/>
      <c r="K801" s="22"/>
      <c r="N801" s="22"/>
    </row>
    <row r="802">
      <c r="E802" s="22"/>
      <c r="K802" s="22"/>
      <c r="N802" s="22"/>
    </row>
    <row r="803">
      <c r="E803" s="22"/>
      <c r="K803" s="22"/>
      <c r="N803" s="22"/>
    </row>
    <row r="804">
      <c r="E804" s="22"/>
      <c r="K804" s="22"/>
      <c r="N804" s="22"/>
    </row>
    <row r="805">
      <c r="E805" s="22"/>
      <c r="K805" s="22"/>
      <c r="N805" s="22"/>
    </row>
    <row r="806">
      <c r="E806" s="22"/>
      <c r="K806" s="22"/>
      <c r="N806" s="22"/>
    </row>
    <row r="807">
      <c r="E807" s="22"/>
      <c r="K807" s="22"/>
      <c r="N807" s="22"/>
    </row>
    <row r="808">
      <c r="E808" s="22"/>
      <c r="K808" s="22"/>
      <c r="N808" s="22"/>
    </row>
    <row r="809">
      <c r="E809" s="22"/>
      <c r="K809" s="22"/>
      <c r="N809" s="22"/>
    </row>
    <row r="810">
      <c r="E810" s="22"/>
      <c r="K810" s="22"/>
      <c r="N810" s="22"/>
    </row>
    <row r="811">
      <c r="E811" s="22"/>
      <c r="K811" s="22"/>
      <c r="N811" s="22"/>
    </row>
    <row r="812">
      <c r="E812" s="22"/>
      <c r="K812" s="22"/>
      <c r="N812" s="22"/>
    </row>
    <row r="813">
      <c r="E813" s="22"/>
      <c r="K813" s="22"/>
      <c r="N813" s="22"/>
    </row>
    <row r="814">
      <c r="E814" s="22"/>
      <c r="K814" s="22"/>
      <c r="N814" s="22"/>
    </row>
    <row r="815">
      <c r="E815" s="22"/>
      <c r="K815" s="22"/>
      <c r="N815" s="22"/>
    </row>
    <row r="816">
      <c r="E816" s="22"/>
      <c r="K816" s="22"/>
      <c r="N816" s="22"/>
    </row>
    <row r="817">
      <c r="E817" s="22"/>
      <c r="K817" s="22"/>
      <c r="N817" s="22"/>
    </row>
    <row r="818">
      <c r="E818" s="22"/>
      <c r="K818" s="22"/>
      <c r="N818" s="22"/>
    </row>
    <row r="819">
      <c r="E819" s="22"/>
      <c r="K819" s="22"/>
      <c r="N819" s="22"/>
    </row>
    <row r="820">
      <c r="E820" s="22"/>
      <c r="K820" s="22"/>
      <c r="N820" s="22"/>
    </row>
    <row r="821">
      <c r="E821" s="22"/>
      <c r="K821" s="22"/>
      <c r="N821" s="22"/>
    </row>
    <row r="822">
      <c r="E822" s="22"/>
      <c r="K822" s="22"/>
      <c r="N822" s="22"/>
    </row>
    <row r="823">
      <c r="E823" s="22"/>
      <c r="K823" s="22"/>
      <c r="N823" s="22"/>
    </row>
    <row r="824">
      <c r="E824" s="22"/>
      <c r="K824" s="22"/>
      <c r="N824" s="22"/>
    </row>
    <row r="825">
      <c r="E825" s="22"/>
      <c r="K825" s="22"/>
      <c r="N825" s="22"/>
    </row>
    <row r="826">
      <c r="E826" s="22"/>
      <c r="K826" s="22"/>
      <c r="N826" s="22"/>
    </row>
    <row r="827">
      <c r="E827" s="22"/>
      <c r="K827" s="22"/>
      <c r="N827" s="22"/>
    </row>
    <row r="828">
      <c r="E828" s="22"/>
      <c r="K828" s="22"/>
      <c r="N828" s="22"/>
    </row>
    <row r="829">
      <c r="E829" s="22"/>
      <c r="K829" s="22"/>
      <c r="N829" s="22"/>
    </row>
    <row r="830">
      <c r="E830" s="22"/>
      <c r="K830" s="22"/>
      <c r="N830" s="22"/>
    </row>
    <row r="831">
      <c r="E831" s="22"/>
      <c r="K831" s="22"/>
      <c r="N831" s="22"/>
    </row>
    <row r="832">
      <c r="E832" s="22"/>
      <c r="K832" s="22"/>
      <c r="N832" s="22"/>
    </row>
    <row r="833">
      <c r="E833" s="22"/>
      <c r="K833" s="22"/>
      <c r="N833" s="22"/>
    </row>
    <row r="834">
      <c r="E834" s="22"/>
      <c r="K834" s="22"/>
      <c r="N834" s="22"/>
    </row>
    <row r="835">
      <c r="E835" s="22"/>
      <c r="K835" s="22"/>
      <c r="N835" s="22"/>
    </row>
    <row r="836">
      <c r="E836" s="22"/>
      <c r="K836" s="22"/>
      <c r="N836" s="22"/>
    </row>
    <row r="837">
      <c r="E837" s="22"/>
      <c r="K837" s="22"/>
      <c r="N837" s="22"/>
    </row>
    <row r="838">
      <c r="E838" s="22"/>
      <c r="K838" s="22"/>
      <c r="N838" s="22"/>
    </row>
    <row r="839">
      <c r="E839" s="22"/>
      <c r="K839" s="22"/>
      <c r="N839" s="22"/>
    </row>
    <row r="840">
      <c r="E840" s="22"/>
      <c r="K840" s="22"/>
      <c r="N840" s="22"/>
    </row>
    <row r="841">
      <c r="E841" s="22"/>
      <c r="K841" s="22"/>
      <c r="N841" s="22"/>
    </row>
    <row r="842">
      <c r="E842" s="22"/>
      <c r="K842" s="22"/>
      <c r="N842" s="22"/>
    </row>
    <row r="843">
      <c r="E843" s="22"/>
      <c r="K843" s="22"/>
      <c r="N843" s="22"/>
    </row>
    <row r="844">
      <c r="E844" s="22"/>
      <c r="K844" s="22"/>
      <c r="N844" s="22"/>
    </row>
    <row r="845">
      <c r="E845" s="22"/>
      <c r="K845" s="22"/>
      <c r="N845" s="22"/>
    </row>
    <row r="846">
      <c r="E846" s="22"/>
      <c r="K846" s="22"/>
      <c r="N846" s="22"/>
    </row>
    <row r="847">
      <c r="E847" s="22"/>
      <c r="K847" s="22"/>
      <c r="N847" s="22"/>
    </row>
    <row r="848">
      <c r="E848" s="22"/>
      <c r="K848" s="22"/>
      <c r="N848" s="22"/>
    </row>
    <row r="849">
      <c r="E849" s="22"/>
      <c r="K849" s="22"/>
      <c r="N849" s="22"/>
    </row>
    <row r="850">
      <c r="E850" s="22"/>
      <c r="K850" s="22"/>
      <c r="N850" s="22"/>
    </row>
    <row r="851">
      <c r="E851" s="22"/>
      <c r="K851" s="22"/>
      <c r="N851" s="22"/>
    </row>
    <row r="852">
      <c r="E852" s="22"/>
      <c r="K852" s="22"/>
      <c r="N852" s="22"/>
    </row>
    <row r="853">
      <c r="E853" s="22"/>
      <c r="K853" s="22"/>
      <c r="N853" s="22"/>
    </row>
    <row r="854">
      <c r="E854" s="22"/>
      <c r="K854" s="22"/>
      <c r="N854" s="22"/>
    </row>
    <row r="855">
      <c r="E855" s="22"/>
      <c r="K855" s="22"/>
      <c r="N855" s="22"/>
    </row>
    <row r="856">
      <c r="E856" s="22"/>
      <c r="K856" s="22"/>
      <c r="N856" s="22"/>
    </row>
    <row r="857">
      <c r="E857" s="22"/>
      <c r="K857" s="22"/>
      <c r="N857" s="22"/>
    </row>
    <row r="858">
      <c r="E858" s="22"/>
      <c r="K858" s="22"/>
      <c r="N858" s="22"/>
    </row>
    <row r="859">
      <c r="E859" s="22"/>
      <c r="K859" s="22"/>
      <c r="N859" s="22"/>
    </row>
    <row r="860">
      <c r="E860" s="22"/>
      <c r="K860" s="22"/>
      <c r="N860" s="22"/>
    </row>
    <row r="861">
      <c r="E861" s="22"/>
      <c r="K861" s="22"/>
      <c r="N861" s="22"/>
    </row>
    <row r="862">
      <c r="E862" s="22"/>
      <c r="K862" s="22"/>
      <c r="N862" s="22"/>
    </row>
    <row r="863">
      <c r="E863" s="22"/>
      <c r="K863" s="22"/>
      <c r="N863" s="22"/>
    </row>
    <row r="864">
      <c r="E864" s="22"/>
      <c r="K864" s="22"/>
      <c r="N864" s="22"/>
    </row>
    <row r="865">
      <c r="E865" s="22"/>
      <c r="K865" s="22"/>
      <c r="N865" s="22"/>
    </row>
    <row r="866">
      <c r="E866" s="22"/>
      <c r="K866" s="22"/>
      <c r="N866" s="22"/>
    </row>
    <row r="867">
      <c r="E867" s="22"/>
      <c r="K867" s="22"/>
      <c r="N867" s="22"/>
    </row>
    <row r="868">
      <c r="E868" s="22"/>
      <c r="K868" s="22"/>
      <c r="N868" s="22"/>
    </row>
    <row r="869">
      <c r="E869" s="22"/>
      <c r="K869" s="22"/>
      <c r="N869" s="22"/>
    </row>
    <row r="870">
      <c r="E870" s="22"/>
      <c r="K870" s="22"/>
      <c r="N870" s="22"/>
    </row>
    <row r="871">
      <c r="E871" s="22"/>
      <c r="K871" s="22"/>
      <c r="N871" s="22"/>
    </row>
    <row r="872">
      <c r="E872" s="22"/>
      <c r="K872" s="22"/>
      <c r="N872" s="22"/>
    </row>
    <row r="873">
      <c r="E873" s="22"/>
      <c r="K873" s="22"/>
      <c r="N873" s="22"/>
    </row>
    <row r="874">
      <c r="E874" s="22"/>
      <c r="K874" s="22"/>
      <c r="N874" s="22"/>
    </row>
    <row r="875">
      <c r="E875" s="22"/>
      <c r="K875" s="22"/>
      <c r="N875" s="22"/>
    </row>
    <row r="876">
      <c r="E876" s="22"/>
      <c r="K876" s="22"/>
      <c r="N876" s="22"/>
    </row>
    <row r="877">
      <c r="E877" s="22"/>
      <c r="K877" s="22"/>
      <c r="N877" s="22"/>
    </row>
    <row r="878">
      <c r="E878" s="22"/>
      <c r="K878" s="22"/>
      <c r="N878" s="22"/>
    </row>
    <row r="879">
      <c r="E879" s="22"/>
      <c r="K879" s="22"/>
      <c r="N879" s="22"/>
    </row>
    <row r="880">
      <c r="E880" s="22"/>
      <c r="K880" s="22"/>
      <c r="N880" s="22"/>
    </row>
    <row r="881">
      <c r="E881" s="22"/>
      <c r="K881" s="22"/>
      <c r="N881" s="22"/>
    </row>
    <row r="882">
      <c r="E882" s="22"/>
      <c r="K882" s="22"/>
      <c r="N882" s="22"/>
    </row>
    <row r="883">
      <c r="E883" s="22"/>
      <c r="K883" s="22"/>
      <c r="N883" s="22"/>
    </row>
    <row r="884">
      <c r="E884" s="22"/>
      <c r="K884" s="22"/>
      <c r="N884" s="22"/>
    </row>
    <row r="885">
      <c r="E885" s="22"/>
      <c r="K885" s="22"/>
      <c r="N885" s="22"/>
    </row>
    <row r="886">
      <c r="E886" s="22"/>
      <c r="K886" s="22"/>
      <c r="N886" s="22"/>
    </row>
    <row r="887">
      <c r="E887" s="22"/>
      <c r="K887" s="22"/>
      <c r="N887" s="22"/>
    </row>
    <row r="888">
      <c r="E888" s="22"/>
      <c r="K888" s="22"/>
      <c r="N888" s="22"/>
    </row>
    <row r="889">
      <c r="E889" s="22"/>
      <c r="K889" s="22"/>
      <c r="N889" s="22"/>
    </row>
    <row r="890">
      <c r="E890" s="22"/>
      <c r="K890" s="22"/>
      <c r="N890" s="22"/>
    </row>
    <row r="891">
      <c r="E891" s="22"/>
      <c r="K891" s="22"/>
      <c r="N891" s="22"/>
    </row>
    <row r="892">
      <c r="E892" s="22"/>
      <c r="K892" s="22"/>
      <c r="N892" s="22"/>
    </row>
    <row r="893">
      <c r="E893" s="22"/>
      <c r="K893" s="22"/>
      <c r="N893" s="22"/>
    </row>
    <row r="894">
      <c r="E894" s="22"/>
      <c r="K894" s="22"/>
      <c r="N894" s="22"/>
    </row>
    <row r="895">
      <c r="E895" s="22"/>
      <c r="K895" s="22"/>
      <c r="N895" s="22"/>
    </row>
    <row r="896">
      <c r="E896" s="22"/>
      <c r="K896" s="22"/>
      <c r="N896" s="22"/>
    </row>
    <row r="897">
      <c r="E897" s="22"/>
      <c r="K897" s="22"/>
      <c r="N897" s="22"/>
    </row>
    <row r="898">
      <c r="E898" s="22"/>
      <c r="K898" s="22"/>
      <c r="N898" s="22"/>
    </row>
    <row r="899">
      <c r="E899" s="22"/>
      <c r="K899" s="22"/>
      <c r="N899" s="22"/>
    </row>
    <row r="900">
      <c r="E900" s="22"/>
      <c r="K900" s="22"/>
      <c r="N900" s="22"/>
    </row>
    <row r="901">
      <c r="E901" s="22"/>
      <c r="K901" s="22"/>
      <c r="N901" s="22"/>
    </row>
    <row r="902">
      <c r="E902" s="22"/>
      <c r="K902" s="22"/>
      <c r="N902" s="22"/>
    </row>
    <row r="903">
      <c r="E903" s="22"/>
      <c r="K903" s="22"/>
      <c r="N903" s="22"/>
    </row>
    <row r="904">
      <c r="E904" s="22"/>
      <c r="K904" s="22"/>
      <c r="N904" s="22"/>
    </row>
    <row r="905">
      <c r="E905" s="22"/>
      <c r="K905" s="22"/>
      <c r="N905" s="22"/>
    </row>
    <row r="906">
      <c r="E906" s="22"/>
      <c r="K906" s="22"/>
      <c r="N906" s="22"/>
    </row>
    <row r="907">
      <c r="E907" s="22"/>
      <c r="K907" s="22"/>
      <c r="N907" s="22"/>
    </row>
    <row r="908">
      <c r="E908" s="22"/>
      <c r="K908" s="22"/>
      <c r="N908" s="22"/>
    </row>
    <row r="909">
      <c r="E909" s="22"/>
      <c r="K909" s="22"/>
      <c r="N909" s="22"/>
    </row>
    <row r="910">
      <c r="E910" s="22"/>
      <c r="K910" s="22"/>
      <c r="N910" s="22"/>
    </row>
    <row r="911">
      <c r="E911" s="22"/>
      <c r="K911" s="22"/>
      <c r="N911" s="22"/>
    </row>
    <row r="912">
      <c r="E912" s="22"/>
      <c r="K912" s="22"/>
      <c r="N912" s="22"/>
    </row>
    <row r="913">
      <c r="E913" s="22"/>
      <c r="K913" s="22"/>
      <c r="N913" s="22"/>
    </row>
    <row r="914">
      <c r="E914" s="22"/>
      <c r="K914" s="22"/>
      <c r="N914" s="22"/>
    </row>
    <row r="915">
      <c r="E915" s="22"/>
      <c r="K915" s="22"/>
      <c r="N915" s="22"/>
    </row>
    <row r="916">
      <c r="E916" s="22"/>
      <c r="K916" s="22"/>
      <c r="N916" s="22"/>
    </row>
    <row r="917">
      <c r="E917" s="22"/>
      <c r="K917" s="22"/>
      <c r="N917" s="22"/>
    </row>
    <row r="918">
      <c r="E918" s="22"/>
      <c r="K918" s="22"/>
      <c r="N918" s="22"/>
    </row>
    <row r="919">
      <c r="E919" s="22"/>
      <c r="K919" s="22"/>
      <c r="N919" s="22"/>
    </row>
    <row r="920">
      <c r="E920" s="22"/>
      <c r="K920" s="22"/>
      <c r="N920" s="22"/>
    </row>
    <row r="921">
      <c r="E921" s="22"/>
      <c r="K921" s="22"/>
      <c r="N921" s="22"/>
    </row>
    <row r="922">
      <c r="E922" s="22"/>
      <c r="K922" s="22"/>
      <c r="N922" s="22"/>
    </row>
    <row r="923">
      <c r="E923" s="22"/>
      <c r="K923" s="22"/>
      <c r="N923" s="22"/>
    </row>
    <row r="924">
      <c r="E924" s="22"/>
      <c r="K924" s="22"/>
      <c r="N924" s="22"/>
    </row>
    <row r="925">
      <c r="E925" s="22"/>
      <c r="K925" s="22"/>
      <c r="N925" s="22"/>
    </row>
    <row r="926">
      <c r="E926" s="22"/>
      <c r="K926" s="22"/>
      <c r="N926" s="22"/>
    </row>
    <row r="927">
      <c r="E927" s="22"/>
      <c r="K927" s="22"/>
      <c r="N927" s="22"/>
    </row>
    <row r="928">
      <c r="E928" s="22"/>
      <c r="K928" s="22"/>
      <c r="N928" s="22"/>
    </row>
    <row r="929">
      <c r="E929" s="22"/>
      <c r="K929" s="22"/>
      <c r="N929" s="22"/>
    </row>
    <row r="930">
      <c r="E930" s="22"/>
      <c r="K930" s="22"/>
      <c r="N930" s="22"/>
    </row>
    <row r="931">
      <c r="E931" s="22"/>
      <c r="K931" s="22"/>
      <c r="N931" s="22"/>
    </row>
    <row r="932">
      <c r="E932" s="22"/>
      <c r="K932" s="22"/>
      <c r="N932" s="22"/>
    </row>
    <row r="933">
      <c r="E933" s="22"/>
      <c r="K933" s="22"/>
      <c r="N933" s="22"/>
    </row>
    <row r="934">
      <c r="E934" s="22"/>
      <c r="K934" s="22"/>
      <c r="N934" s="22"/>
    </row>
    <row r="935">
      <c r="E935" s="22"/>
      <c r="K935" s="22"/>
      <c r="N935" s="22"/>
    </row>
    <row r="936">
      <c r="E936" s="22"/>
      <c r="K936" s="22"/>
      <c r="N936" s="22"/>
    </row>
    <row r="937">
      <c r="E937" s="22"/>
      <c r="K937" s="22"/>
      <c r="N937" s="22"/>
    </row>
    <row r="938">
      <c r="E938" s="22"/>
      <c r="K938" s="22"/>
      <c r="N938" s="22"/>
    </row>
    <row r="939">
      <c r="E939" s="22"/>
      <c r="K939" s="22"/>
      <c r="N939" s="22"/>
    </row>
    <row r="940">
      <c r="E940" s="22"/>
      <c r="K940" s="22"/>
      <c r="N940" s="22"/>
    </row>
    <row r="941">
      <c r="E941" s="22"/>
      <c r="K941" s="22"/>
      <c r="N941" s="22"/>
    </row>
    <row r="942">
      <c r="E942" s="22"/>
      <c r="K942" s="22"/>
      <c r="N942" s="22"/>
    </row>
    <row r="943">
      <c r="E943" s="22"/>
      <c r="K943" s="22"/>
      <c r="N943" s="22"/>
    </row>
    <row r="944">
      <c r="E944" s="22"/>
      <c r="K944" s="22"/>
      <c r="N944" s="22"/>
    </row>
    <row r="945">
      <c r="E945" s="22"/>
      <c r="K945" s="22"/>
      <c r="N945" s="22"/>
    </row>
    <row r="946">
      <c r="E946" s="22"/>
      <c r="K946" s="22"/>
      <c r="N946" s="22"/>
    </row>
    <row r="947">
      <c r="E947" s="22"/>
      <c r="K947" s="22"/>
      <c r="N947" s="22"/>
    </row>
    <row r="948">
      <c r="E948" s="22"/>
      <c r="K948" s="22"/>
      <c r="N948" s="22"/>
    </row>
    <row r="949">
      <c r="E949" s="22"/>
      <c r="K949" s="22"/>
      <c r="N949" s="22"/>
    </row>
    <row r="950">
      <c r="E950" s="22"/>
      <c r="K950" s="22"/>
      <c r="N950" s="22"/>
    </row>
    <row r="951">
      <c r="E951" s="22"/>
      <c r="K951" s="22"/>
      <c r="N951" s="22"/>
    </row>
    <row r="952">
      <c r="E952" s="22"/>
      <c r="K952" s="22"/>
      <c r="N952" s="22"/>
    </row>
    <row r="953">
      <c r="E953" s="22"/>
      <c r="K953" s="22"/>
      <c r="N953" s="22"/>
    </row>
    <row r="954">
      <c r="E954" s="22"/>
      <c r="K954" s="22"/>
      <c r="N954" s="22"/>
    </row>
    <row r="955">
      <c r="E955" s="22"/>
      <c r="K955" s="22"/>
      <c r="N955" s="22"/>
    </row>
    <row r="956">
      <c r="E956" s="22"/>
      <c r="K956" s="22"/>
      <c r="N956" s="22"/>
    </row>
    <row r="957">
      <c r="E957" s="22"/>
      <c r="K957" s="22"/>
      <c r="N957" s="22"/>
    </row>
    <row r="958">
      <c r="E958" s="22"/>
      <c r="K958" s="22"/>
      <c r="N958" s="22"/>
    </row>
    <row r="959">
      <c r="E959" s="22"/>
      <c r="K959" s="22"/>
      <c r="N959" s="22"/>
    </row>
    <row r="960">
      <c r="E960" s="22"/>
      <c r="K960" s="22"/>
      <c r="N960" s="22"/>
    </row>
    <row r="961">
      <c r="E961" s="22"/>
      <c r="K961" s="22"/>
      <c r="N961" s="22"/>
    </row>
    <row r="962">
      <c r="E962" s="22"/>
      <c r="K962" s="22"/>
      <c r="N962" s="22"/>
    </row>
    <row r="963">
      <c r="E963" s="22"/>
      <c r="K963" s="22"/>
      <c r="N963" s="22"/>
    </row>
    <row r="964">
      <c r="E964" s="22"/>
      <c r="K964" s="22"/>
      <c r="N964" s="22"/>
    </row>
    <row r="965">
      <c r="E965" s="22"/>
      <c r="K965" s="22"/>
      <c r="N965" s="22"/>
    </row>
    <row r="966">
      <c r="E966" s="22"/>
      <c r="K966" s="22"/>
      <c r="N966" s="22"/>
    </row>
    <row r="967">
      <c r="E967" s="22"/>
      <c r="K967" s="22"/>
      <c r="N967" s="22"/>
    </row>
    <row r="968">
      <c r="E968" s="22"/>
      <c r="K968" s="22"/>
      <c r="N968" s="22"/>
    </row>
    <row r="969">
      <c r="E969" s="22"/>
      <c r="K969" s="22"/>
      <c r="N969" s="22"/>
    </row>
    <row r="970">
      <c r="E970" s="22"/>
      <c r="K970" s="22"/>
      <c r="N970" s="22"/>
    </row>
    <row r="971">
      <c r="E971" s="22"/>
      <c r="K971" s="22"/>
      <c r="N971" s="22"/>
    </row>
    <row r="972">
      <c r="E972" s="22"/>
      <c r="K972" s="22"/>
      <c r="N972" s="22"/>
    </row>
    <row r="973">
      <c r="E973" s="22"/>
      <c r="K973" s="22"/>
      <c r="N973" s="22"/>
    </row>
    <row r="974">
      <c r="E974" s="22"/>
      <c r="K974" s="22"/>
      <c r="N974" s="22"/>
    </row>
    <row r="975">
      <c r="E975" s="22"/>
      <c r="K975" s="22"/>
      <c r="N975" s="22"/>
    </row>
    <row r="976">
      <c r="E976" s="22"/>
      <c r="K976" s="22"/>
      <c r="N976" s="22"/>
    </row>
    <row r="977">
      <c r="E977" s="22"/>
      <c r="K977" s="22"/>
      <c r="N977" s="22"/>
    </row>
    <row r="978">
      <c r="E978" s="22"/>
      <c r="K978" s="22"/>
      <c r="N978" s="22"/>
    </row>
    <row r="979">
      <c r="E979" s="22"/>
      <c r="K979" s="22"/>
      <c r="N979" s="22"/>
    </row>
    <row r="980">
      <c r="E980" s="22"/>
      <c r="K980" s="22"/>
      <c r="N980" s="22"/>
    </row>
    <row r="981">
      <c r="E981" s="22"/>
      <c r="K981" s="22"/>
      <c r="N981" s="22"/>
    </row>
    <row r="982">
      <c r="E982" s="22"/>
      <c r="K982" s="22"/>
      <c r="N982" s="22"/>
    </row>
    <row r="983">
      <c r="E983" s="22"/>
      <c r="K983" s="22"/>
      <c r="N983" s="22"/>
    </row>
    <row r="984">
      <c r="E984" s="22"/>
      <c r="K984" s="22"/>
      <c r="N984" s="22"/>
    </row>
    <row r="985">
      <c r="E985" s="22"/>
      <c r="K985" s="22"/>
      <c r="N985" s="22"/>
    </row>
    <row r="986">
      <c r="E986" s="22"/>
      <c r="K986" s="22"/>
      <c r="N986" s="22"/>
    </row>
    <row r="987">
      <c r="E987" s="22"/>
      <c r="K987" s="22"/>
      <c r="N987" s="22"/>
    </row>
    <row r="988">
      <c r="E988" s="22"/>
      <c r="K988" s="22"/>
      <c r="N988" s="22"/>
    </row>
    <row r="989">
      <c r="E989" s="22"/>
      <c r="K989" s="22"/>
      <c r="N989" s="22"/>
    </row>
    <row r="990">
      <c r="E990" s="22"/>
      <c r="K990" s="22"/>
      <c r="N990" s="22"/>
    </row>
    <row r="991">
      <c r="E991" s="22"/>
      <c r="K991" s="22"/>
      <c r="N991" s="22"/>
    </row>
    <row r="992">
      <c r="E992" s="22"/>
      <c r="K992" s="22"/>
      <c r="N992" s="22"/>
    </row>
    <row r="993">
      <c r="E993" s="22"/>
      <c r="K993" s="22"/>
      <c r="N993" s="22"/>
    </row>
    <row r="994">
      <c r="E994" s="22"/>
      <c r="K994" s="22"/>
      <c r="N994" s="22"/>
    </row>
    <row r="995">
      <c r="E995" s="22"/>
      <c r="K995" s="22"/>
      <c r="N995" s="22"/>
    </row>
    <row r="996">
      <c r="E996" s="22"/>
      <c r="K996" s="22"/>
      <c r="N996" s="22"/>
    </row>
    <row r="997">
      <c r="E997" s="22"/>
      <c r="K997" s="22"/>
      <c r="N997" s="22"/>
    </row>
    <row r="998">
      <c r="E998" s="22"/>
      <c r="K998" s="22"/>
      <c r="N998" s="22"/>
    </row>
    <row r="999">
      <c r="E999" s="22"/>
      <c r="K999" s="22"/>
      <c r="N999" s="22"/>
    </row>
    <row r="1000">
      <c r="E1000" s="22"/>
      <c r="K1000" s="22"/>
      <c r="N100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359.3</v>
      </c>
      <c r="D1" s="1" t="s">
        <v>2</v>
      </c>
      <c r="E1" s="3">
        <f>SUM(E3:E62)</f>
        <v>119.27</v>
      </c>
      <c r="G1" s="1" t="s">
        <v>4</v>
      </c>
      <c r="H1" s="3">
        <f>SUM(H3:H62)</f>
        <v>0</v>
      </c>
      <c r="J1" s="1" t="s">
        <v>8</v>
      </c>
      <c r="K1" s="3">
        <f>SUM(K3:K62)</f>
        <v>1199.26</v>
      </c>
      <c r="M1" s="1" t="s">
        <v>14</v>
      </c>
      <c r="N1" s="3">
        <f>SUM(N3:N62)</f>
        <v>0</v>
      </c>
    </row>
    <row r="2">
      <c r="A2" s="7" t="s">
        <v>20</v>
      </c>
      <c r="B2" s="8" t="s">
        <v>21</v>
      </c>
      <c r="D2" s="7" t="s">
        <v>20</v>
      </c>
      <c r="E2" s="20" t="s">
        <v>21</v>
      </c>
      <c r="G2" s="7" t="s">
        <v>20</v>
      </c>
      <c r="H2" s="20" t="s">
        <v>21</v>
      </c>
      <c r="J2" s="7" t="s">
        <v>20</v>
      </c>
      <c r="K2" s="20" t="s">
        <v>21</v>
      </c>
      <c r="M2" s="7" t="s">
        <v>20</v>
      </c>
      <c r="N2" s="20" t="s">
        <v>21</v>
      </c>
    </row>
    <row r="3">
      <c r="A3" s="11" t="s">
        <v>68</v>
      </c>
      <c r="B3" s="12">
        <v>8.53</v>
      </c>
      <c r="D3" s="11" t="s">
        <v>24</v>
      </c>
      <c r="E3" s="12">
        <v>67.56</v>
      </c>
      <c r="G3" s="11"/>
      <c r="H3" s="12"/>
      <c r="J3" s="11" t="s">
        <v>45</v>
      </c>
      <c r="K3" s="12">
        <v>54.18</v>
      </c>
      <c r="M3" s="11"/>
      <c r="N3" s="12"/>
    </row>
    <row r="4">
      <c r="A4" s="11" t="s">
        <v>122</v>
      </c>
      <c r="B4" s="12">
        <v>48.75</v>
      </c>
      <c r="D4" s="11" t="s">
        <v>38</v>
      </c>
      <c r="E4" s="12">
        <v>1.0</v>
      </c>
      <c r="G4" s="14"/>
      <c r="H4" s="23"/>
      <c r="J4" s="11" t="s">
        <v>123</v>
      </c>
      <c r="K4" s="12">
        <v>109.64</v>
      </c>
      <c r="M4" s="11"/>
      <c r="N4" s="12"/>
    </row>
    <row r="5">
      <c r="A5" s="11" t="s">
        <v>23</v>
      </c>
      <c r="B5" s="12">
        <v>8.79</v>
      </c>
      <c r="D5" s="11" t="s">
        <v>24</v>
      </c>
      <c r="E5" s="12">
        <v>50.71</v>
      </c>
      <c r="G5" s="14"/>
      <c r="H5" s="23"/>
      <c r="J5" s="11" t="s">
        <v>124</v>
      </c>
      <c r="K5" s="12">
        <v>56.95</v>
      </c>
      <c r="M5" s="14"/>
      <c r="N5" s="23"/>
    </row>
    <row r="6">
      <c r="A6" s="11" t="s">
        <v>125</v>
      </c>
      <c r="B6" s="12">
        <v>7.65</v>
      </c>
      <c r="D6" s="11"/>
      <c r="E6" s="12"/>
      <c r="G6" s="14"/>
      <c r="H6" s="23"/>
      <c r="J6" s="11" t="s">
        <v>126</v>
      </c>
      <c r="K6" s="12">
        <v>12.0</v>
      </c>
      <c r="M6" s="14"/>
      <c r="N6" s="23"/>
    </row>
    <row r="7">
      <c r="A7" s="11" t="s">
        <v>125</v>
      </c>
      <c r="B7" s="12">
        <v>5.6</v>
      </c>
      <c r="D7" s="11"/>
      <c r="E7" s="12"/>
      <c r="G7" s="14"/>
      <c r="H7" s="23"/>
      <c r="J7" s="11" t="s">
        <v>66</v>
      </c>
      <c r="K7" s="12">
        <v>44.54</v>
      </c>
      <c r="M7" s="14"/>
      <c r="N7" s="23"/>
    </row>
    <row r="8">
      <c r="A8" s="11" t="s">
        <v>30</v>
      </c>
      <c r="B8" s="12">
        <v>14.44</v>
      </c>
      <c r="D8" s="11"/>
      <c r="E8" s="12"/>
      <c r="G8" s="14"/>
      <c r="H8" s="23"/>
      <c r="J8" s="11" t="s">
        <v>128</v>
      </c>
      <c r="K8" s="12">
        <v>150.0</v>
      </c>
      <c r="M8" s="14"/>
      <c r="N8" s="23"/>
    </row>
    <row r="9">
      <c r="A9" s="11" t="s">
        <v>130</v>
      </c>
      <c r="B9" s="12">
        <v>2.5</v>
      </c>
      <c r="D9" s="14"/>
      <c r="E9" s="23"/>
      <c r="G9" s="14"/>
      <c r="H9" s="23"/>
      <c r="J9" s="11" t="s">
        <v>131</v>
      </c>
      <c r="K9" s="12">
        <v>14.34</v>
      </c>
      <c r="M9" s="14"/>
      <c r="N9" s="23"/>
    </row>
    <row r="10">
      <c r="A10" s="11" t="s">
        <v>125</v>
      </c>
      <c r="B10" s="12">
        <v>4.25</v>
      </c>
      <c r="D10" s="14"/>
      <c r="E10" s="23"/>
      <c r="G10" s="14"/>
      <c r="H10" s="23"/>
      <c r="J10" s="11" t="s">
        <v>133</v>
      </c>
      <c r="K10" s="12">
        <v>7.29</v>
      </c>
      <c r="M10" s="14"/>
      <c r="N10" s="23"/>
    </row>
    <row r="11">
      <c r="A11" s="11" t="s">
        <v>134</v>
      </c>
      <c r="B11" s="12">
        <v>22.2</v>
      </c>
      <c r="D11" s="14"/>
      <c r="E11" s="23"/>
      <c r="G11" s="14"/>
      <c r="H11" s="23"/>
      <c r="J11" s="11" t="s">
        <v>135</v>
      </c>
      <c r="K11" s="12">
        <v>43.99</v>
      </c>
      <c r="M11" s="14"/>
      <c r="N11" s="23"/>
    </row>
    <row r="12">
      <c r="A12" s="11" t="s">
        <v>50</v>
      </c>
      <c r="B12" s="12">
        <v>16.0</v>
      </c>
      <c r="D12" s="14"/>
      <c r="E12" s="23"/>
      <c r="G12" s="14"/>
      <c r="H12" s="23"/>
      <c r="J12" s="11" t="s">
        <v>136</v>
      </c>
      <c r="K12" s="12">
        <v>21.35</v>
      </c>
      <c r="M12" s="14"/>
      <c r="N12" s="23"/>
    </row>
    <row r="13">
      <c r="A13" s="11" t="s">
        <v>125</v>
      </c>
      <c r="B13" s="12">
        <v>9.85</v>
      </c>
      <c r="D13" s="14"/>
      <c r="E13" s="23"/>
      <c r="G13" s="14"/>
      <c r="H13" s="23"/>
      <c r="J13" s="11" t="s">
        <v>138</v>
      </c>
      <c r="K13" s="12">
        <v>4.99</v>
      </c>
      <c r="M13" s="14"/>
      <c r="N13" s="23"/>
    </row>
    <row r="14">
      <c r="A14" s="11" t="s">
        <v>23</v>
      </c>
      <c r="B14" s="12">
        <v>12.52</v>
      </c>
      <c r="D14" s="14"/>
      <c r="E14" s="23"/>
      <c r="G14" s="14"/>
      <c r="H14" s="23"/>
      <c r="J14" s="11" t="s">
        <v>83</v>
      </c>
      <c r="K14" s="12">
        <v>15.76</v>
      </c>
      <c r="M14" s="14"/>
      <c r="N14" s="23"/>
    </row>
    <row r="15">
      <c r="A15" s="11" t="s">
        <v>140</v>
      </c>
      <c r="B15" s="12">
        <v>27.4</v>
      </c>
      <c r="D15" s="14"/>
      <c r="E15" s="23"/>
      <c r="G15" s="14"/>
      <c r="H15" s="23"/>
      <c r="J15" s="11" t="s">
        <v>141</v>
      </c>
      <c r="K15" s="12">
        <v>3.99</v>
      </c>
      <c r="M15" s="14"/>
      <c r="N15" s="23"/>
    </row>
    <row r="16">
      <c r="A16" s="11" t="s">
        <v>23</v>
      </c>
      <c r="B16" s="12">
        <v>12.52</v>
      </c>
      <c r="D16" s="14"/>
      <c r="E16" s="23"/>
      <c r="G16" s="14"/>
      <c r="H16" s="23"/>
      <c r="J16" s="11" t="s">
        <v>45</v>
      </c>
      <c r="K16" s="12">
        <v>95.96</v>
      </c>
      <c r="M16" s="14"/>
      <c r="N16" s="23"/>
    </row>
    <row r="17">
      <c r="A17" s="11" t="s">
        <v>23</v>
      </c>
      <c r="B17" s="12">
        <v>3.88</v>
      </c>
      <c r="D17" s="14"/>
      <c r="E17" s="23"/>
      <c r="G17" s="14"/>
      <c r="H17" s="23"/>
      <c r="J17" s="11" t="s">
        <v>123</v>
      </c>
      <c r="K17" s="12">
        <v>104.26</v>
      </c>
      <c r="M17" s="14"/>
      <c r="N17" s="23"/>
    </row>
    <row r="18">
      <c r="A18" s="11" t="s">
        <v>93</v>
      </c>
      <c r="B18" s="12">
        <v>6.93</v>
      </c>
      <c r="D18" s="14"/>
      <c r="E18" s="23"/>
      <c r="G18" s="14"/>
      <c r="H18" s="23"/>
      <c r="J18" s="11" t="s">
        <v>142</v>
      </c>
      <c r="K18" s="12">
        <v>63.64</v>
      </c>
      <c r="M18" s="14"/>
      <c r="N18" s="23"/>
    </row>
    <row r="19">
      <c r="A19" s="11" t="s">
        <v>30</v>
      </c>
      <c r="B19" s="12">
        <v>8.59</v>
      </c>
      <c r="D19" s="14"/>
      <c r="E19" s="23"/>
      <c r="G19" s="14"/>
      <c r="H19" s="23"/>
      <c r="J19" s="11" t="s">
        <v>143</v>
      </c>
      <c r="K19" s="12">
        <v>11.4</v>
      </c>
      <c r="M19" s="14"/>
      <c r="N19" s="23"/>
    </row>
    <row r="20">
      <c r="A20" s="11" t="s">
        <v>93</v>
      </c>
      <c r="B20" s="12">
        <v>1.98</v>
      </c>
      <c r="D20" s="14"/>
      <c r="E20" s="23"/>
      <c r="G20" s="14"/>
      <c r="H20" s="23"/>
      <c r="J20" s="11" t="s">
        <v>144</v>
      </c>
      <c r="K20" s="12">
        <v>27.97</v>
      </c>
      <c r="M20" s="14"/>
      <c r="N20" s="23"/>
    </row>
    <row r="21">
      <c r="A21" s="11" t="s">
        <v>23</v>
      </c>
      <c r="B21" s="12">
        <v>14.77</v>
      </c>
      <c r="D21" s="14"/>
      <c r="E21" s="23"/>
      <c r="G21" s="14"/>
      <c r="H21" s="23"/>
      <c r="J21" s="11" t="s">
        <v>145</v>
      </c>
      <c r="K21" s="12">
        <v>58.99</v>
      </c>
      <c r="M21" s="14"/>
      <c r="N21" s="23"/>
    </row>
    <row r="22">
      <c r="A22" s="11" t="s">
        <v>23</v>
      </c>
      <c r="B22" s="12">
        <v>11.58</v>
      </c>
      <c r="D22" s="14"/>
      <c r="E22" s="23"/>
      <c r="G22" s="14"/>
      <c r="H22" s="23"/>
      <c r="J22" s="11" t="s">
        <v>146</v>
      </c>
      <c r="K22" s="12">
        <v>28.23</v>
      </c>
      <c r="M22" s="14"/>
      <c r="N22" s="23"/>
    </row>
    <row r="23">
      <c r="A23" s="11" t="s">
        <v>23</v>
      </c>
      <c r="B23" s="12">
        <v>0.78</v>
      </c>
      <c r="D23" s="14"/>
      <c r="E23" s="23"/>
      <c r="G23" s="14"/>
      <c r="H23" s="23"/>
      <c r="J23" s="11" t="s">
        <v>147</v>
      </c>
      <c r="K23" s="12">
        <f>10.99*2</f>
        <v>21.98</v>
      </c>
      <c r="M23" s="14"/>
      <c r="N23" s="23"/>
    </row>
    <row r="24">
      <c r="A24" s="11" t="s">
        <v>23</v>
      </c>
      <c r="B24" s="12">
        <v>1.99</v>
      </c>
      <c r="D24" s="14"/>
      <c r="E24" s="23"/>
      <c r="G24" s="14"/>
      <c r="H24" s="23"/>
      <c r="J24" s="11" t="s">
        <v>148</v>
      </c>
      <c r="K24" s="12">
        <v>13.95</v>
      </c>
      <c r="M24" s="14"/>
      <c r="N24" s="23"/>
    </row>
    <row r="25">
      <c r="A25" s="11" t="s">
        <v>150</v>
      </c>
      <c r="B25" s="12">
        <v>15.77</v>
      </c>
      <c r="D25" s="14"/>
      <c r="E25" s="23"/>
      <c r="G25" s="14"/>
      <c r="H25" s="23"/>
      <c r="J25" s="11" t="s">
        <v>151</v>
      </c>
      <c r="K25" s="12">
        <v>7.97</v>
      </c>
      <c r="M25" s="14"/>
      <c r="N25" s="23"/>
    </row>
    <row r="26">
      <c r="A26" s="11" t="s">
        <v>150</v>
      </c>
      <c r="B26" s="12">
        <v>8.58</v>
      </c>
      <c r="D26" s="14"/>
      <c r="E26" s="23"/>
      <c r="G26" s="14"/>
      <c r="H26" s="23"/>
      <c r="J26" s="11" t="s">
        <v>152</v>
      </c>
      <c r="K26" s="12">
        <v>5.97</v>
      </c>
      <c r="M26" s="14"/>
      <c r="N26" s="23"/>
    </row>
    <row r="27">
      <c r="A27" s="11" t="s">
        <v>73</v>
      </c>
      <c r="B27" s="12">
        <v>23.24</v>
      </c>
      <c r="D27" s="14"/>
      <c r="E27" s="23"/>
      <c r="G27" s="14"/>
      <c r="H27" s="23"/>
      <c r="J27" s="11" t="s">
        <v>153</v>
      </c>
      <c r="K27" s="12">
        <v>15.38</v>
      </c>
      <c r="M27" s="14"/>
      <c r="N27" s="23"/>
    </row>
    <row r="28">
      <c r="A28" s="11" t="s">
        <v>30</v>
      </c>
      <c r="B28" s="12">
        <v>4.58</v>
      </c>
      <c r="D28" s="14"/>
      <c r="E28" s="23"/>
      <c r="G28" s="14"/>
      <c r="H28" s="23"/>
      <c r="J28" s="11" t="s">
        <v>154</v>
      </c>
      <c r="K28" s="12">
        <v>26.99</v>
      </c>
      <c r="M28" s="14"/>
      <c r="N28" s="23"/>
    </row>
    <row r="29">
      <c r="A29" s="11" t="s">
        <v>130</v>
      </c>
      <c r="B29" s="12">
        <v>3.0</v>
      </c>
      <c r="D29" s="14"/>
      <c r="E29" s="23"/>
      <c r="G29" s="14"/>
      <c r="H29" s="23"/>
      <c r="J29" s="11" t="s">
        <v>155</v>
      </c>
      <c r="K29" s="12">
        <v>11.19</v>
      </c>
      <c r="M29" s="14"/>
      <c r="N29" s="23"/>
    </row>
    <row r="30">
      <c r="A30" s="11" t="s">
        <v>23</v>
      </c>
      <c r="B30" s="12">
        <v>8.82</v>
      </c>
      <c r="D30" s="14"/>
      <c r="E30" s="23"/>
      <c r="G30" s="14"/>
      <c r="H30" s="23"/>
      <c r="J30" s="11" t="s">
        <v>156</v>
      </c>
      <c r="K30" s="12">
        <v>8.99</v>
      </c>
      <c r="M30" s="14"/>
      <c r="N30" s="23"/>
    </row>
    <row r="31">
      <c r="A31" s="11" t="s">
        <v>23</v>
      </c>
      <c r="B31" s="12">
        <v>4.82</v>
      </c>
      <c r="D31" s="14"/>
      <c r="E31" s="23"/>
      <c r="G31" s="14"/>
      <c r="H31" s="23"/>
      <c r="J31" s="11" t="s">
        <v>157</v>
      </c>
      <c r="K31" s="12">
        <v>19.49</v>
      </c>
      <c r="M31" s="14"/>
      <c r="N31" s="23"/>
    </row>
    <row r="32">
      <c r="A32" s="11" t="s">
        <v>134</v>
      </c>
      <c r="B32" s="12">
        <v>22.87</v>
      </c>
      <c r="D32" s="14"/>
      <c r="E32" s="23"/>
      <c r="G32" s="14"/>
      <c r="H32" s="23"/>
      <c r="J32" s="11" t="s">
        <v>66</v>
      </c>
      <c r="K32" s="12">
        <v>71.04</v>
      </c>
      <c r="M32" s="14"/>
      <c r="N32" s="23"/>
    </row>
    <row r="33">
      <c r="A33" s="11" t="s">
        <v>23</v>
      </c>
      <c r="B33" s="12">
        <v>5.28</v>
      </c>
      <c r="D33" s="14"/>
      <c r="E33" s="23"/>
      <c r="G33" s="14"/>
      <c r="H33" s="23"/>
      <c r="J33" s="11" t="s">
        <v>66</v>
      </c>
      <c r="K33" s="23">
        <f>10.18+23.98+2.69+29.99</f>
        <v>66.84</v>
      </c>
      <c r="M33" s="14"/>
      <c r="N33" s="23"/>
    </row>
    <row r="34">
      <c r="A34" s="11" t="s">
        <v>23</v>
      </c>
      <c r="B34" s="12">
        <v>10.84</v>
      </c>
      <c r="D34" s="14"/>
      <c r="E34" s="23"/>
      <c r="G34" s="14"/>
      <c r="H34" s="23"/>
      <c r="J34" s="14"/>
      <c r="K34" s="23"/>
      <c r="M34" s="14"/>
      <c r="N34" s="23"/>
    </row>
    <row r="35">
      <c r="A35" s="14"/>
      <c r="B35" s="23"/>
      <c r="D35" s="14"/>
      <c r="E35" s="23"/>
      <c r="G35" s="14"/>
      <c r="H35" s="23"/>
      <c r="J35" s="14"/>
      <c r="K35" s="23"/>
      <c r="M35" s="14"/>
      <c r="N35" s="23"/>
    </row>
    <row r="36">
      <c r="A36" s="14"/>
      <c r="B36" s="23"/>
      <c r="D36" s="14"/>
      <c r="E36" s="23"/>
      <c r="G36" s="14"/>
      <c r="H36" s="23"/>
      <c r="J36" s="14"/>
      <c r="K36" s="23"/>
      <c r="M36" s="14"/>
      <c r="N36" s="23"/>
    </row>
    <row r="37">
      <c r="A37" s="14"/>
      <c r="B37" s="23"/>
      <c r="D37" s="14"/>
      <c r="E37" s="23"/>
      <c r="G37" s="14"/>
      <c r="H37" s="23"/>
      <c r="J37" s="14"/>
      <c r="K37" s="23"/>
      <c r="M37" s="14"/>
      <c r="N37" s="23"/>
    </row>
    <row r="38">
      <c r="A38" s="14"/>
      <c r="B38" s="23"/>
      <c r="D38" s="14"/>
      <c r="E38" s="23"/>
      <c r="G38" s="14"/>
      <c r="H38" s="23"/>
      <c r="J38" s="14"/>
      <c r="K38" s="23"/>
      <c r="M38" s="14"/>
      <c r="N38" s="23"/>
    </row>
    <row r="39">
      <c r="A39" s="14"/>
      <c r="B39" s="23"/>
      <c r="D39" s="14"/>
      <c r="E39" s="23"/>
      <c r="G39" s="14"/>
      <c r="H39" s="23"/>
      <c r="J39" s="14"/>
      <c r="K39" s="23"/>
      <c r="M39" s="14"/>
      <c r="N39" s="23"/>
    </row>
    <row r="40">
      <c r="A40" s="14"/>
      <c r="B40" s="23"/>
      <c r="D40" s="14"/>
      <c r="E40" s="23"/>
      <c r="G40" s="14"/>
      <c r="H40" s="23"/>
      <c r="J40" s="14"/>
      <c r="K40" s="23"/>
      <c r="M40" s="14"/>
      <c r="N40" s="23"/>
    </row>
    <row r="41">
      <c r="A41" s="14"/>
      <c r="B41" s="23"/>
      <c r="D41" s="14"/>
      <c r="E41" s="23"/>
      <c r="G41" s="14"/>
      <c r="H41" s="23"/>
      <c r="J41" s="14"/>
      <c r="K41" s="23"/>
      <c r="M41" s="14"/>
      <c r="N41" s="23"/>
    </row>
    <row r="42">
      <c r="A42" s="14"/>
      <c r="B42" s="23"/>
      <c r="D42" s="14"/>
      <c r="E42" s="23"/>
      <c r="G42" s="14"/>
      <c r="H42" s="23"/>
      <c r="J42" s="14"/>
      <c r="K42" s="23"/>
      <c r="M42" s="14"/>
      <c r="N42" s="23"/>
    </row>
    <row r="43">
      <c r="A43" s="14"/>
      <c r="B43" s="23"/>
      <c r="D43" s="14"/>
      <c r="E43" s="23"/>
      <c r="G43" s="14"/>
      <c r="H43" s="23"/>
      <c r="J43" s="14"/>
      <c r="K43" s="23"/>
      <c r="M43" s="14"/>
      <c r="N43" s="23"/>
    </row>
    <row r="44">
      <c r="A44" s="14"/>
      <c r="B44" s="23"/>
      <c r="D44" s="14"/>
      <c r="E44" s="23"/>
      <c r="G44" s="14"/>
      <c r="H44" s="23"/>
      <c r="J44" s="14"/>
      <c r="K44" s="23"/>
      <c r="M44" s="14"/>
      <c r="N44" s="23"/>
    </row>
    <row r="45">
      <c r="A45" s="14"/>
      <c r="B45" s="23"/>
      <c r="D45" s="14"/>
      <c r="E45" s="23"/>
      <c r="G45" s="14"/>
      <c r="H45" s="23"/>
      <c r="J45" s="14"/>
      <c r="K45" s="23"/>
      <c r="M45" s="14"/>
      <c r="N45" s="23"/>
    </row>
    <row r="46">
      <c r="A46" s="14"/>
      <c r="B46" s="23"/>
      <c r="D46" s="14"/>
      <c r="E46" s="23"/>
      <c r="G46" s="14"/>
      <c r="H46" s="23"/>
      <c r="J46" s="14"/>
      <c r="K46" s="23"/>
      <c r="M46" s="14"/>
      <c r="N46" s="23"/>
    </row>
    <row r="47">
      <c r="A47" s="14"/>
      <c r="B47" s="23"/>
      <c r="D47" s="14"/>
      <c r="E47" s="23"/>
      <c r="G47" s="14"/>
      <c r="H47" s="23"/>
      <c r="J47" s="14"/>
      <c r="K47" s="23"/>
      <c r="M47" s="14"/>
      <c r="N47" s="23"/>
    </row>
    <row r="48">
      <c r="A48" s="14"/>
      <c r="B48" s="23"/>
      <c r="D48" s="14"/>
      <c r="E48" s="23"/>
      <c r="G48" s="14"/>
      <c r="H48" s="23"/>
      <c r="J48" s="14"/>
      <c r="K48" s="23"/>
      <c r="M48" s="14"/>
      <c r="N48" s="23"/>
    </row>
    <row r="49">
      <c r="A49" s="14"/>
      <c r="B49" s="23"/>
      <c r="D49" s="14"/>
      <c r="E49" s="23"/>
      <c r="G49" s="14"/>
      <c r="H49" s="23"/>
      <c r="J49" s="14"/>
      <c r="K49" s="23"/>
      <c r="M49" s="14"/>
      <c r="N49" s="23"/>
    </row>
    <row r="50">
      <c r="A50" s="14"/>
      <c r="B50" s="23"/>
      <c r="D50" s="14"/>
      <c r="E50" s="23"/>
      <c r="G50" s="14"/>
      <c r="H50" s="23"/>
      <c r="J50" s="14"/>
      <c r="K50" s="23"/>
      <c r="M50" s="14"/>
      <c r="N50" s="23"/>
    </row>
    <row r="51">
      <c r="A51" s="14"/>
      <c r="B51" s="23"/>
      <c r="D51" s="14"/>
      <c r="E51" s="23"/>
      <c r="G51" s="14"/>
      <c r="H51" s="23"/>
      <c r="J51" s="14"/>
      <c r="K51" s="23"/>
      <c r="M51" s="14"/>
      <c r="N51" s="23"/>
    </row>
    <row r="52">
      <c r="A52" s="14"/>
      <c r="B52" s="23"/>
      <c r="D52" s="14"/>
      <c r="E52" s="23"/>
      <c r="G52" s="14"/>
      <c r="H52" s="23"/>
      <c r="J52" s="14"/>
      <c r="K52" s="23"/>
      <c r="M52" s="14"/>
      <c r="N52" s="23"/>
    </row>
    <row r="53">
      <c r="A53" s="14"/>
      <c r="B53" s="23"/>
      <c r="D53" s="14"/>
      <c r="E53" s="23"/>
      <c r="G53" s="14"/>
      <c r="H53" s="23"/>
      <c r="J53" s="14"/>
      <c r="K53" s="23"/>
      <c r="M53" s="14"/>
      <c r="N53" s="23"/>
    </row>
    <row r="54">
      <c r="A54" s="14"/>
      <c r="B54" s="23"/>
      <c r="D54" s="14"/>
      <c r="E54" s="23"/>
      <c r="G54" s="14"/>
      <c r="H54" s="23"/>
      <c r="J54" s="14"/>
      <c r="K54" s="23"/>
      <c r="M54" s="14"/>
      <c r="N54" s="23"/>
    </row>
    <row r="55">
      <c r="A55" s="14"/>
      <c r="B55" s="23"/>
      <c r="D55" s="14"/>
      <c r="E55" s="23"/>
      <c r="G55" s="14"/>
      <c r="H55" s="23"/>
      <c r="J55" s="14"/>
      <c r="K55" s="23"/>
      <c r="M55" s="14"/>
      <c r="N55" s="23"/>
    </row>
    <row r="56">
      <c r="A56" s="14"/>
      <c r="B56" s="23"/>
      <c r="D56" s="14"/>
      <c r="E56" s="23"/>
      <c r="G56" s="14"/>
      <c r="H56" s="23"/>
      <c r="J56" s="14"/>
      <c r="K56" s="23"/>
      <c r="M56" s="14"/>
      <c r="N56" s="23"/>
    </row>
    <row r="57">
      <c r="A57" s="14"/>
      <c r="B57" s="23"/>
      <c r="D57" s="14"/>
      <c r="E57" s="23"/>
      <c r="G57" s="14"/>
      <c r="H57" s="23"/>
      <c r="J57" s="14"/>
      <c r="K57" s="23"/>
      <c r="M57" s="14"/>
      <c r="N57" s="23"/>
    </row>
    <row r="58">
      <c r="A58" s="14"/>
      <c r="B58" s="23"/>
      <c r="D58" s="14"/>
      <c r="E58" s="23"/>
      <c r="G58" s="14"/>
      <c r="H58" s="23"/>
      <c r="J58" s="14"/>
      <c r="K58" s="23"/>
      <c r="M58" s="14"/>
      <c r="N58" s="23"/>
    </row>
    <row r="59">
      <c r="A59" s="14"/>
      <c r="B59" s="23"/>
      <c r="D59" s="14"/>
      <c r="E59" s="23"/>
      <c r="G59" s="14"/>
      <c r="H59" s="23"/>
      <c r="J59" s="14"/>
      <c r="K59" s="23"/>
      <c r="M59" s="14"/>
      <c r="N59" s="23"/>
    </row>
    <row r="60">
      <c r="A60" s="14"/>
      <c r="B60" s="23"/>
      <c r="D60" s="14"/>
      <c r="E60" s="23"/>
      <c r="G60" s="14"/>
      <c r="H60" s="23"/>
      <c r="J60" s="14"/>
      <c r="K60" s="23"/>
      <c r="M60" s="14"/>
      <c r="N60" s="23"/>
    </row>
    <row r="61">
      <c r="A61" s="14"/>
      <c r="B61" s="23"/>
      <c r="D61" s="14"/>
      <c r="E61" s="23"/>
      <c r="G61" s="14"/>
      <c r="H61" s="23"/>
      <c r="J61" s="14"/>
      <c r="K61" s="23"/>
      <c r="M61" s="14"/>
      <c r="N61" s="23"/>
    </row>
    <row r="62">
      <c r="A62" s="33"/>
      <c r="B62" s="34"/>
      <c r="D62" s="33"/>
      <c r="E62" s="34"/>
      <c r="G62" s="33"/>
      <c r="H62" s="34"/>
      <c r="J62" s="33"/>
      <c r="K62" s="34"/>
      <c r="M62" s="33"/>
      <c r="N62" s="34"/>
    </row>
    <row r="63">
      <c r="E63" s="22"/>
      <c r="H63" s="22"/>
      <c r="K63" s="22"/>
      <c r="N63" s="22"/>
    </row>
    <row r="64">
      <c r="E64" s="22"/>
      <c r="H64" s="22"/>
      <c r="K64" s="22"/>
      <c r="N64" s="22"/>
    </row>
    <row r="65">
      <c r="E65" s="22"/>
      <c r="H65" s="22"/>
      <c r="K65" s="22"/>
      <c r="N65" s="22"/>
    </row>
    <row r="66">
      <c r="E66" s="22"/>
      <c r="H66" s="22"/>
      <c r="K66" s="22"/>
      <c r="N66" s="22"/>
    </row>
    <row r="67">
      <c r="E67" s="22"/>
      <c r="H67" s="22"/>
      <c r="K67" s="22"/>
      <c r="N67" s="22"/>
    </row>
    <row r="68">
      <c r="E68" s="22"/>
      <c r="H68" s="22"/>
      <c r="K68" s="22"/>
      <c r="N68" s="22"/>
    </row>
    <row r="69">
      <c r="E69" s="22"/>
      <c r="H69" s="22"/>
      <c r="K69" s="22"/>
      <c r="N69" s="22"/>
    </row>
    <row r="70">
      <c r="E70" s="22"/>
      <c r="H70" s="22"/>
      <c r="K70" s="22"/>
      <c r="N70" s="22"/>
    </row>
    <row r="71">
      <c r="E71" s="22"/>
      <c r="H71" s="22"/>
      <c r="K71" s="22"/>
      <c r="N71" s="22"/>
    </row>
    <row r="72">
      <c r="E72" s="22"/>
      <c r="H72" s="22"/>
      <c r="K72" s="22"/>
      <c r="N72" s="22"/>
    </row>
    <row r="73">
      <c r="E73" s="22"/>
      <c r="H73" s="22"/>
      <c r="K73" s="22"/>
      <c r="N73" s="22"/>
    </row>
    <row r="74">
      <c r="E74" s="22"/>
      <c r="H74" s="22"/>
      <c r="K74" s="22"/>
      <c r="N74" s="22"/>
    </row>
    <row r="75">
      <c r="E75" s="22"/>
      <c r="H75" s="22"/>
      <c r="K75" s="22"/>
      <c r="N75" s="22"/>
    </row>
    <row r="76">
      <c r="E76" s="22"/>
      <c r="H76" s="22"/>
      <c r="K76" s="22"/>
      <c r="N76" s="22"/>
    </row>
    <row r="77">
      <c r="E77" s="22"/>
      <c r="H77" s="22"/>
      <c r="K77" s="22"/>
      <c r="N77" s="22"/>
    </row>
    <row r="78">
      <c r="E78" s="22"/>
      <c r="H78" s="22"/>
      <c r="K78" s="22"/>
      <c r="N78" s="22"/>
    </row>
    <row r="79">
      <c r="E79" s="22"/>
      <c r="H79" s="22"/>
      <c r="K79" s="22"/>
      <c r="N79" s="22"/>
    </row>
    <row r="80">
      <c r="E80" s="22"/>
      <c r="H80" s="22"/>
      <c r="K80" s="22"/>
      <c r="N80" s="22"/>
    </row>
    <row r="81">
      <c r="E81" s="22"/>
      <c r="H81" s="22"/>
      <c r="K81" s="22"/>
      <c r="N81" s="22"/>
    </row>
    <row r="82">
      <c r="E82" s="22"/>
      <c r="H82" s="22"/>
      <c r="K82" s="22"/>
      <c r="N82" s="22"/>
    </row>
    <row r="83">
      <c r="E83" s="22"/>
      <c r="H83" s="22"/>
      <c r="K83" s="22"/>
      <c r="N83" s="22"/>
    </row>
    <row r="84">
      <c r="E84" s="22"/>
      <c r="H84" s="22"/>
      <c r="K84" s="22"/>
      <c r="N84" s="22"/>
    </row>
    <row r="85">
      <c r="E85" s="22"/>
      <c r="H85" s="22"/>
      <c r="K85" s="22"/>
      <c r="N85" s="22"/>
    </row>
    <row r="86">
      <c r="E86" s="22"/>
      <c r="H86" s="22"/>
      <c r="K86" s="22"/>
      <c r="N86" s="22"/>
    </row>
    <row r="87">
      <c r="E87" s="22"/>
      <c r="H87" s="22"/>
      <c r="K87" s="22"/>
      <c r="N87" s="22"/>
    </row>
    <row r="88">
      <c r="E88" s="22"/>
      <c r="H88" s="22"/>
      <c r="K88" s="22"/>
      <c r="N88" s="22"/>
    </row>
    <row r="89">
      <c r="E89" s="22"/>
      <c r="H89" s="22"/>
      <c r="K89" s="22"/>
      <c r="N89" s="22"/>
    </row>
    <row r="90">
      <c r="E90" s="22"/>
      <c r="H90" s="22"/>
      <c r="K90" s="22"/>
      <c r="N90" s="22"/>
    </row>
    <row r="91">
      <c r="E91" s="22"/>
      <c r="H91" s="22"/>
      <c r="K91" s="22"/>
      <c r="N91" s="22"/>
    </row>
    <row r="92">
      <c r="E92" s="22"/>
      <c r="H92" s="22"/>
      <c r="K92" s="22"/>
      <c r="N92" s="22"/>
    </row>
    <row r="93">
      <c r="E93" s="22"/>
      <c r="H93" s="22"/>
      <c r="K93" s="22"/>
      <c r="N93" s="22"/>
    </row>
    <row r="94">
      <c r="E94" s="22"/>
      <c r="H94" s="22"/>
      <c r="K94" s="22"/>
      <c r="N94" s="22"/>
    </row>
    <row r="95">
      <c r="E95" s="22"/>
      <c r="H95" s="22"/>
      <c r="K95" s="22"/>
      <c r="N95" s="22"/>
    </row>
    <row r="96">
      <c r="E96" s="22"/>
      <c r="H96" s="22"/>
      <c r="K96" s="22"/>
      <c r="N96" s="22"/>
    </row>
    <row r="97">
      <c r="E97" s="22"/>
      <c r="H97" s="22"/>
      <c r="K97" s="22"/>
      <c r="N97" s="22"/>
    </row>
    <row r="98">
      <c r="E98" s="22"/>
      <c r="H98" s="22"/>
      <c r="K98" s="22"/>
      <c r="N98" s="22"/>
    </row>
    <row r="99">
      <c r="E99" s="22"/>
      <c r="H99" s="22"/>
      <c r="K99" s="22"/>
      <c r="N99" s="22"/>
    </row>
    <row r="100">
      <c r="E100" s="22"/>
      <c r="H100" s="22"/>
      <c r="K100" s="22"/>
      <c r="N100" s="22"/>
    </row>
    <row r="101">
      <c r="E101" s="22"/>
      <c r="H101" s="22"/>
      <c r="K101" s="22"/>
      <c r="N101" s="22"/>
    </row>
    <row r="102">
      <c r="E102" s="22"/>
      <c r="H102" s="22"/>
      <c r="K102" s="22"/>
      <c r="N102" s="22"/>
    </row>
    <row r="103">
      <c r="E103" s="22"/>
      <c r="H103" s="22"/>
      <c r="K103" s="22"/>
      <c r="N103" s="22"/>
    </row>
    <row r="104">
      <c r="E104" s="22"/>
      <c r="H104" s="22"/>
      <c r="K104" s="22"/>
      <c r="N104" s="22"/>
    </row>
    <row r="105">
      <c r="E105" s="22"/>
      <c r="H105" s="22"/>
      <c r="K105" s="22"/>
      <c r="N105" s="22"/>
    </row>
    <row r="106">
      <c r="E106" s="22"/>
      <c r="H106" s="22"/>
      <c r="K106" s="22"/>
      <c r="N106" s="22"/>
    </row>
    <row r="107">
      <c r="E107" s="22"/>
      <c r="H107" s="22"/>
      <c r="K107" s="22"/>
      <c r="N107" s="22"/>
    </row>
    <row r="108">
      <c r="E108" s="22"/>
      <c r="H108" s="22"/>
      <c r="K108" s="22"/>
      <c r="N108" s="22"/>
    </row>
    <row r="109">
      <c r="E109" s="22"/>
      <c r="H109" s="22"/>
      <c r="K109" s="22"/>
      <c r="N109" s="22"/>
    </row>
    <row r="110">
      <c r="E110" s="22"/>
      <c r="H110" s="22"/>
      <c r="K110" s="22"/>
      <c r="N110" s="22"/>
    </row>
    <row r="111">
      <c r="E111" s="22"/>
      <c r="H111" s="22"/>
      <c r="K111" s="22"/>
      <c r="N111" s="22"/>
    </row>
    <row r="112">
      <c r="E112" s="22"/>
      <c r="H112" s="22"/>
      <c r="K112" s="22"/>
      <c r="N112" s="22"/>
    </row>
    <row r="113">
      <c r="E113" s="22"/>
      <c r="H113" s="22"/>
      <c r="K113" s="22"/>
      <c r="N113" s="22"/>
    </row>
    <row r="114">
      <c r="E114" s="22"/>
      <c r="H114" s="22"/>
      <c r="K114" s="22"/>
      <c r="N114" s="22"/>
    </row>
    <row r="115">
      <c r="E115" s="22"/>
      <c r="H115" s="22"/>
      <c r="K115" s="22"/>
      <c r="N115" s="22"/>
    </row>
    <row r="116">
      <c r="E116" s="22"/>
      <c r="H116" s="22"/>
      <c r="K116" s="22"/>
      <c r="N116" s="22"/>
    </row>
    <row r="117">
      <c r="E117" s="22"/>
      <c r="H117" s="22"/>
      <c r="K117" s="22"/>
      <c r="N117" s="22"/>
    </row>
    <row r="118">
      <c r="E118" s="22"/>
      <c r="H118" s="22"/>
      <c r="K118" s="22"/>
      <c r="N118" s="22"/>
    </row>
    <row r="119">
      <c r="E119" s="22"/>
      <c r="H119" s="22"/>
      <c r="K119" s="22"/>
      <c r="N119" s="22"/>
    </row>
    <row r="120">
      <c r="E120" s="22"/>
      <c r="H120" s="22"/>
      <c r="K120" s="22"/>
      <c r="N120" s="22"/>
    </row>
    <row r="121">
      <c r="E121" s="22"/>
      <c r="H121" s="22"/>
      <c r="K121" s="22"/>
      <c r="N121" s="22"/>
    </row>
    <row r="122">
      <c r="E122" s="22"/>
      <c r="H122" s="22"/>
      <c r="K122" s="22"/>
      <c r="N122" s="22"/>
    </row>
    <row r="123">
      <c r="E123" s="22"/>
      <c r="H123" s="22"/>
      <c r="K123" s="22"/>
      <c r="N123" s="22"/>
    </row>
    <row r="124">
      <c r="E124" s="22"/>
      <c r="H124" s="22"/>
      <c r="K124" s="22"/>
      <c r="N124" s="22"/>
    </row>
    <row r="125">
      <c r="E125" s="22"/>
      <c r="H125" s="22"/>
      <c r="K125" s="22"/>
      <c r="N125" s="22"/>
    </row>
    <row r="126">
      <c r="E126" s="22"/>
      <c r="H126" s="22"/>
      <c r="K126" s="22"/>
      <c r="N126" s="22"/>
    </row>
    <row r="127">
      <c r="E127" s="22"/>
      <c r="H127" s="22"/>
      <c r="K127" s="22"/>
      <c r="N127" s="22"/>
    </row>
    <row r="128">
      <c r="E128" s="22"/>
      <c r="H128" s="22"/>
      <c r="K128" s="22"/>
      <c r="N128" s="22"/>
    </row>
    <row r="129">
      <c r="E129" s="22"/>
      <c r="H129" s="22"/>
      <c r="K129" s="22"/>
      <c r="N129" s="22"/>
    </row>
    <row r="130">
      <c r="E130" s="22"/>
      <c r="H130" s="22"/>
      <c r="K130" s="22"/>
      <c r="N130" s="22"/>
    </row>
    <row r="131">
      <c r="E131" s="22"/>
      <c r="H131" s="22"/>
      <c r="K131" s="22"/>
      <c r="N131" s="22"/>
    </row>
    <row r="132">
      <c r="E132" s="22"/>
      <c r="H132" s="22"/>
      <c r="K132" s="22"/>
      <c r="N132" s="22"/>
    </row>
    <row r="133">
      <c r="E133" s="22"/>
      <c r="H133" s="22"/>
      <c r="K133" s="22"/>
      <c r="N133" s="22"/>
    </row>
    <row r="134">
      <c r="E134" s="22"/>
      <c r="H134" s="22"/>
      <c r="K134" s="22"/>
      <c r="N134" s="22"/>
    </row>
    <row r="135">
      <c r="E135" s="22"/>
      <c r="H135" s="22"/>
      <c r="K135" s="22"/>
      <c r="N135" s="22"/>
    </row>
    <row r="136">
      <c r="E136" s="22"/>
      <c r="H136" s="22"/>
      <c r="K136" s="22"/>
      <c r="N136" s="22"/>
    </row>
    <row r="137">
      <c r="E137" s="22"/>
      <c r="H137" s="22"/>
      <c r="K137" s="22"/>
      <c r="N137" s="22"/>
    </row>
    <row r="138">
      <c r="E138" s="22"/>
      <c r="H138" s="22"/>
      <c r="K138" s="22"/>
      <c r="N138" s="22"/>
    </row>
    <row r="139">
      <c r="E139" s="22"/>
      <c r="H139" s="22"/>
      <c r="K139" s="22"/>
      <c r="N139" s="22"/>
    </row>
    <row r="140">
      <c r="E140" s="22"/>
      <c r="H140" s="22"/>
      <c r="K140" s="22"/>
      <c r="N140" s="22"/>
    </row>
    <row r="141">
      <c r="E141" s="22"/>
      <c r="H141" s="22"/>
      <c r="K141" s="22"/>
      <c r="N141" s="22"/>
    </row>
    <row r="142">
      <c r="E142" s="22"/>
      <c r="H142" s="22"/>
      <c r="K142" s="22"/>
      <c r="N142" s="22"/>
    </row>
    <row r="143">
      <c r="E143" s="22"/>
      <c r="H143" s="22"/>
      <c r="K143" s="22"/>
      <c r="N143" s="22"/>
    </row>
    <row r="144">
      <c r="E144" s="22"/>
      <c r="H144" s="22"/>
      <c r="K144" s="22"/>
      <c r="N144" s="22"/>
    </row>
    <row r="145">
      <c r="E145" s="22"/>
      <c r="H145" s="22"/>
      <c r="K145" s="22"/>
      <c r="N145" s="22"/>
    </row>
    <row r="146">
      <c r="E146" s="22"/>
      <c r="H146" s="22"/>
      <c r="K146" s="22"/>
      <c r="N146" s="22"/>
    </row>
    <row r="147">
      <c r="E147" s="22"/>
      <c r="H147" s="22"/>
      <c r="K147" s="22"/>
      <c r="N147" s="22"/>
    </row>
    <row r="148">
      <c r="E148" s="22"/>
      <c r="H148" s="22"/>
      <c r="K148" s="22"/>
      <c r="N148" s="22"/>
    </row>
    <row r="149">
      <c r="E149" s="22"/>
      <c r="H149" s="22"/>
      <c r="K149" s="22"/>
      <c r="N149" s="22"/>
    </row>
    <row r="150">
      <c r="E150" s="22"/>
      <c r="H150" s="22"/>
      <c r="K150" s="22"/>
      <c r="N150" s="22"/>
    </row>
    <row r="151">
      <c r="E151" s="22"/>
      <c r="H151" s="22"/>
      <c r="K151" s="22"/>
      <c r="N151" s="22"/>
    </row>
    <row r="152">
      <c r="E152" s="22"/>
      <c r="H152" s="22"/>
      <c r="K152" s="22"/>
      <c r="N152" s="22"/>
    </row>
    <row r="153">
      <c r="E153" s="22"/>
      <c r="H153" s="22"/>
      <c r="K153" s="22"/>
      <c r="N153" s="22"/>
    </row>
    <row r="154">
      <c r="E154" s="22"/>
      <c r="H154" s="22"/>
      <c r="K154" s="22"/>
      <c r="N154" s="22"/>
    </row>
    <row r="155">
      <c r="E155" s="22"/>
      <c r="H155" s="22"/>
      <c r="K155" s="22"/>
      <c r="N155" s="22"/>
    </row>
    <row r="156">
      <c r="E156" s="22"/>
      <c r="H156" s="22"/>
      <c r="K156" s="22"/>
      <c r="N156" s="22"/>
    </row>
    <row r="157">
      <c r="E157" s="22"/>
      <c r="H157" s="22"/>
      <c r="K157" s="22"/>
      <c r="N157" s="22"/>
    </row>
    <row r="158">
      <c r="E158" s="22"/>
      <c r="H158" s="22"/>
      <c r="K158" s="22"/>
      <c r="N158" s="22"/>
    </row>
    <row r="159">
      <c r="E159" s="22"/>
      <c r="H159" s="22"/>
      <c r="K159" s="22"/>
      <c r="N159" s="22"/>
    </row>
    <row r="160">
      <c r="E160" s="22"/>
      <c r="H160" s="22"/>
      <c r="K160" s="22"/>
      <c r="N160" s="22"/>
    </row>
    <row r="161">
      <c r="E161" s="22"/>
      <c r="H161" s="22"/>
      <c r="K161" s="22"/>
      <c r="N161" s="22"/>
    </row>
    <row r="162">
      <c r="E162" s="22"/>
      <c r="H162" s="22"/>
      <c r="K162" s="22"/>
      <c r="N162" s="22"/>
    </row>
    <row r="163">
      <c r="E163" s="22"/>
      <c r="H163" s="22"/>
      <c r="K163" s="22"/>
      <c r="N163" s="22"/>
    </row>
    <row r="164">
      <c r="E164" s="22"/>
      <c r="H164" s="22"/>
      <c r="K164" s="22"/>
      <c r="N164" s="22"/>
    </row>
    <row r="165">
      <c r="E165" s="22"/>
      <c r="H165" s="22"/>
      <c r="K165" s="22"/>
      <c r="N165" s="22"/>
    </row>
    <row r="166">
      <c r="E166" s="22"/>
      <c r="H166" s="22"/>
      <c r="K166" s="22"/>
      <c r="N166" s="22"/>
    </row>
    <row r="167">
      <c r="E167" s="22"/>
      <c r="H167" s="22"/>
      <c r="K167" s="22"/>
      <c r="N167" s="22"/>
    </row>
    <row r="168">
      <c r="E168" s="22"/>
      <c r="H168" s="22"/>
      <c r="K168" s="22"/>
      <c r="N168" s="22"/>
    </row>
    <row r="169">
      <c r="E169" s="22"/>
      <c r="H169" s="22"/>
      <c r="K169" s="22"/>
      <c r="N169" s="22"/>
    </row>
    <row r="170">
      <c r="E170" s="22"/>
      <c r="H170" s="22"/>
      <c r="K170" s="22"/>
      <c r="N170" s="22"/>
    </row>
    <row r="171">
      <c r="E171" s="22"/>
      <c r="H171" s="22"/>
      <c r="K171" s="22"/>
      <c r="N171" s="22"/>
    </row>
    <row r="172">
      <c r="E172" s="22"/>
      <c r="H172" s="22"/>
      <c r="K172" s="22"/>
      <c r="N172" s="22"/>
    </row>
    <row r="173">
      <c r="E173" s="22"/>
      <c r="H173" s="22"/>
      <c r="K173" s="22"/>
      <c r="N173" s="22"/>
    </row>
    <row r="174">
      <c r="E174" s="22"/>
      <c r="H174" s="22"/>
      <c r="K174" s="22"/>
      <c r="N174" s="22"/>
    </row>
    <row r="175">
      <c r="E175" s="22"/>
      <c r="H175" s="22"/>
      <c r="K175" s="22"/>
      <c r="N175" s="22"/>
    </row>
    <row r="176">
      <c r="E176" s="22"/>
      <c r="H176" s="22"/>
      <c r="K176" s="22"/>
      <c r="N176" s="22"/>
    </row>
    <row r="177">
      <c r="E177" s="22"/>
      <c r="H177" s="22"/>
      <c r="K177" s="22"/>
      <c r="N177" s="22"/>
    </row>
    <row r="178">
      <c r="E178" s="22"/>
      <c r="H178" s="22"/>
      <c r="K178" s="22"/>
      <c r="N178" s="22"/>
    </row>
    <row r="179">
      <c r="E179" s="22"/>
      <c r="H179" s="22"/>
      <c r="K179" s="22"/>
      <c r="N179" s="22"/>
    </row>
    <row r="180">
      <c r="E180" s="22"/>
      <c r="H180" s="22"/>
      <c r="K180" s="22"/>
      <c r="N180" s="22"/>
    </row>
    <row r="181">
      <c r="E181" s="22"/>
      <c r="H181" s="22"/>
      <c r="K181" s="22"/>
      <c r="N181" s="22"/>
    </row>
    <row r="182">
      <c r="E182" s="22"/>
      <c r="H182" s="22"/>
      <c r="K182" s="22"/>
      <c r="N182" s="22"/>
    </row>
    <row r="183">
      <c r="E183" s="22"/>
      <c r="H183" s="22"/>
      <c r="K183" s="22"/>
      <c r="N183" s="22"/>
    </row>
    <row r="184">
      <c r="E184" s="22"/>
      <c r="H184" s="22"/>
      <c r="K184" s="22"/>
      <c r="N184" s="22"/>
    </row>
    <row r="185">
      <c r="E185" s="22"/>
      <c r="H185" s="22"/>
      <c r="K185" s="22"/>
      <c r="N185" s="22"/>
    </row>
    <row r="186">
      <c r="E186" s="22"/>
      <c r="H186" s="22"/>
      <c r="K186" s="22"/>
      <c r="N186" s="22"/>
    </row>
    <row r="187">
      <c r="E187" s="22"/>
      <c r="H187" s="22"/>
      <c r="K187" s="22"/>
      <c r="N187" s="22"/>
    </row>
    <row r="188">
      <c r="E188" s="22"/>
      <c r="H188" s="22"/>
      <c r="K188" s="22"/>
      <c r="N188" s="22"/>
    </row>
    <row r="189">
      <c r="E189" s="22"/>
      <c r="H189" s="22"/>
      <c r="K189" s="22"/>
      <c r="N189" s="22"/>
    </row>
    <row r="190">
      <c r="E190" s="22"/>
      <c r="H190" s="22"/>
      <c r="K190" s="22"/>
      <c r="N190" s="22"/>
    </row>
    <row r="191">
      <c r="E191" s="22"/>
      <c r="H191" s="22"/>
      <c r="K191" s="22"/>
      <c r="N191" s="22"/>
    </row>
    <row r="192">
      <c r="E192" s="22"/>
      <c r="H192" s="22"/>
      <c r="K192" s="22"/>
      <c r="N192" s="22"/>
    </row>
    <row r="193">
      <c r="E193" s="22"/>
      <c r="H193" s="22"/>
      <c r="K193" s="22"/>
      <c r="N193" s="22"/>
    </row>
    <row r="194">
      <c r="E194" s="22"/>
      <c r="H194" s="22"/>
      <c r="K194" s="22"/>
      <c r="N194" s="22"/>
    </row>
    <row r="195">
      <c r="E195" s="22"/>
      <c r="H195" s="22"/>
      <c r="K195" s="22"/>
      <c r="N195" s="22"/>
    </row>
    <row r="196">
      <c r="E196" s="22"/>
      <c r="H196" s="22"/>
      <c r="K196" s="22"/>
      <c r="N196" s="22"/>
    </row>
    <row r="197">
      <c r="E197" s="22"/>
      <c r="H197" s="22"/>
      <c r="K197" s="22"/>
      <c r="N197" s="22"/>
    </row>
    <row r="198">
      <c r="E198" s="22"/>
      <c r="H198" s="22"/>
      <c r="K198" s="22"/>
      <c r="N198" s="22"/>
    </row>
    <row r="199">
      <c r="E199" s="22"/>
      <c r="H199" s="22"/>
      <c r="K199" s="22"/>
      <c r="N199" s="22"/>
    </row>
    <row r="200">
      <c r="E200" s="22"/>
      <c r="H200" s="22"/>
      <c r="K200" s="22"/>
      <c r="N200" s="22"/>
    </row>
    <row r="201">
      <c r="E201" s="22"/>
      <c r="H201" s="22"/>
      <c r="K201" s="22"/>
      <c r="N201" s="22"/>
    </row>
    <row r="202">
      <c r="E202" s="22"/>
      <c r="H202" s="22"/>
      <c r="K202" s="22"/>
      <c r="N202" s="22"/>
    </row>
    <row r="203">
      <c r="E203" s="22"/>
      <c r="H203" s="22"/>
      <c r="K203" s="22"/>
      <c r="N203" s="22"/>
    </row>
    <row r="204">
      <c r="E204" s="22"/>
      <c r="H204" s="22"/>
      <c r="K204" s="22"/>
      <c r="N204" s="22"/>
    </row>
    <row r="205">
      <c r="E205" s="22"/>
      <c r="H205" s="22"/>
      <c r="K205" s="22"/>
      <c r="N205" s="22"/>
    </row>
    <row r="206">
      <c r="E206" s="22"/>
      <c r="H206" s="22"/>
      <c r="K206" s="22"/>
      <c r="N206" s="22"/>
    </row>
    <row r="207">
      <c r="E207" s="22"/>
      <c r="H207" s="22"/>
      <c r="K207" s="22"/>
      <c r="N207" s="22"/>
    </row>
    <row r="208">
      <c r="E208" s="22"/>
      <c r="H208" s="22"/>
      <c r="K208" s="22"/>
      <c r="N208" s="22"/>
    </row>
    <row r="209">
      <c r="E209" s="22"/>
      <c r="H209" s="22"/>
      <c r="K209" s="22"/>
      <c r="N209" s="22"/>
    </row>
    <row r="210">
      <c r="E210" s="22"/>
      <c r="H210" s="22"/>
      <c r="K210" s="22"/>
      <c r="N210" s="22"/>
    </row>
    <row r="211">
      <c r="E211" s="22"/>
      <c r="H211" s="22"/>
      <c r="K211" s="22"/>
      <c r="N211" s="22"/>
    </row>
    <row r="212">
      <c r="E212" s="22"/>
      <c r="H212" s="22"/>
      <c r="K212" s="22"/>
      <c r="N212" s="22"/>
    </row>
    <row r="213">
      <c r="E213" s="22"/>
      <c r="H213" s="22"/>
      <c r="K213" s="22"/>
      <c r="N213" s="22"/>
    </row>
    <row r="214">
      <c r="E214" s="22"/>
      <c r="H214" s="22"/>
      <c r="K214" s="22"/>
      <c r="N214" s="22"/>
    </row>
    <row r="215">
      <c r="E215" s="22"/>
      <c r="H215" s="22"/>
      <c r="K215" s="22"/>
      <c r="N215" s="22"/>
    </row>
    <row r="216">
      <c r="E216" s="22"/>
      <c r="H216" s="22"/>
      <c r="K216" s="22"/>
      <c r="N216" s="22"/>
    </row>
    <row r="217">
      <c r="E217" s="22"/>
      <c r="H217" s="22"/>
      <c r="K217" s="22"/>
      <c r="N217" s="22"/>
    </row>
    <row r="218">
      <c r="E218" s="22"/>
      <c r="H218" s="22"/>
      <c r="K218" s="22"/>
      <c r="N218" s="22"/>
    </row>
    <row r="219">
      <c r="E219" s="22"/>
      <c r="H219" s="22"/>
      <c r="K219" s="22"/>
      <c r="N219" s="22"/>
    </row>
    <row r="220">
      <c r="E220" s="22"/>
      <c r="H220" s="22"/>
      <c r="K220" s="22"/>
      <c r="N220" s="22"/>
    </row>
    <row r="221">
      <c r="E221" s="22"/>
      <c r="H221" s="22"/>
      <c r="K221" s="22"/>
      <c r="N221" s="22"/>
    </row>
    <row r="222">
      <c r="E222" s="22"/>
      <c r="H222" s="22"/>
      <c r="K222" s="22"/>
      <c r="N222" s="22"/>
    </row>
    <row r="223">
      <c r="E223" s="22"/>
      <c r="H223" s="22"/>
      <c r="K223" s="22"/>
      <c r="N223" s="22"/>
    </row>
    <row r="224">
      <c r="E224" s="22"/>
      <c r="H224" s="22"/>
      <c r="K224" s="22"/>
      <c r="N224" s="22"/>
    </row>
    <row r="225">
      <c r="E225" s="22"/>
      <c r="H225" s="22"/>
      <c r="K225" s="22"/>
      <c r="N225" s="22"/>
    </row>
    <row r="226">
      <c r="E226" s="22"/>
      <c r="H226" s="22"/>
      <c r="K226" s="22"/>
      <c r="N226" s="22"/>
    </row>
    <row r="227">
      <c r="E227" s="22"/>
      <c r="H227" s="22"/>
      <c r="K227" s="22"/>
      <c r="N227" s="22"/>
    </row>
    <row r="228">
      <c r="E228" s="22"/>
      <c r="H228" s="22"/>
      <c r="K228" s="22"/>
      <c r="N228" s="22"/>
    </row>
    <row r="229">
      <c r="E229" s="22"/>
      <c r="H229" s="22"/>
      <c r="K229" s="22"/>
      <c r="N229" s="22"/>
    </row>
    <row r="230">
      <c r="E230" s="22"/>
      <c r="H230" s="22"/>
      <c r="K230" s="22"/>
      <c r="N230" s="22"/>
    </row>
    <row r="231">
      <c r="E231" s="22"/>
      <c r="H231" s="22"/>
      <c r="K231" s="22"/>
      <c r="N231" s="22"/>
    </row>
    <row r="232">
      <c r="E232" s="22"/>
      <c r="H232" s="22"/>
      <c r="K232" s="22"/>
      <c r="N232" s="22"/>
    </row>
    <row r="233">
      <c r="E233" s="22"/>
      <c r="H233" s="22"/>
      <c r="K233" s="22"/>
      <c r="N233" s="22"/>
    </row>
    <row r="234">
      <c r="E234" s="22"/>
      <c r="H234" s="22"/>
      <c r="K234" s="22"/>
      <c r="N234" s="22"/>
    </row>
    <row r="235">
      <c r="E235" s="22"/>
      <c r="H235" s="22"/>
      <c r="K235" s="22"/>
      <c r="N235" s="22"/>
    </row>
    <row r="236">
      <c r="E236" s="22"/>
      <c r="H236" s="22"/>
      <c r="K236" s="22"/>
      <c r="N236" s="22"/>
    </row>
    <row r="237">
      <c r="E237" s="22"/>
      <c r="H237" s="22"/>
      <c r="K237" s="22"/>
      <c r="N237" s="22"/>
    </row>
    <row r="238">
      <c r="E238" s="22"/>
      <c r="H238" s="22"/>
      <c r="K238" s="22"/>
      <c r="N238" s="22"/>
    </row>
    <row r="239">
      <c r="E239" s="22"/>
      <c r="H239" s="22"/>
      <c r="K239" s="22"/>
      <c r="N239" s="22"/>
    </row>
    <row r="240">
      <c r="E240" s="22"/>
      <c r="H240" s="22"/>
      <c r="K240" s="22"/>
      <c r="N240" s="22"/>
    </row>
    <row r="241">
      <c r="E241" s="22"/>
      <c r="H241" s="22"/>
      <c r="K241" s="22"/>
      <c r="N241" s="22"/>
    </row>
    <row r="242">
      <c r="E242" s="22"/>
      <c r="H242" s="22"/>
      <c r="K242" s="22"/>
      <c r="N242" s="22"/>
    </row>
    <row r="243">
      <c r="E243" s="22"/>
      <c r="H243" s="22"/>
      <c r="K243" s="22"/>
      <c r="N243" s="22"/>
    </row>
    <row r="244">
      <c r="E244" s="22"/>
      <c r="H244" s="22"/>
      <c r="K244" s="22"/>
      <c r="N244" s="22"/>
    </row>
    <row r="245">
      <c r="E245" s="22"/>
      <c r="H245" s="22"/>
      <c r="K245" s="22"/>
      <c r="N245" s="22"/>
    </row>
    <row r="246">
      <c r="E246" s="22"/>
      <c r="H246" s="22"/>
      <c r="K246" s="22"/>
      <c r="N246" s="22"/>
    </row>
    <row r="247">
      <c r="E247" s="22"/>
      <c r="H247" s="22"/>
      <c r="K247" s="22"/>
      <c r="N247" s="22"/>
    </row>
    <row r="248">
      <c r="E248" s="22"/>
      <c r="H248" s="22"/>
      <c r="K248" s="22"/>
      <c r="N248" s="22"/>
    </row>
    <row r="249">
      <c r="E249" s="22"/>
      <c r="H249" s="22"/>
      <c r="K249" s="22"/>
      <c r="N249" s="22"/>
    </row>
    <row r="250">
      <c r="E250" s="22"/>
      <c r="H250" s="22"/>
      <c r="K250" s="22"/>
      <c r="N250" s="22"/>
    </row>
    <row r="251">
      <c r="E251" s="22"/>
      <c r="H251" s="22"/>
      <c r="K251" s="22"/>
      <c r="N251" s="22"/>
    </row>
    <row r="252">
      <c r="E252" s="22"/>
      <c r="H252" s="22"/>
      <c r="K252" s="22"/>
      <c r="N252" s="22"/>
    </row>
    <row r="253">
      <c r="E253" s="22"/>
      <c r="H253" s="22"/>
      <c r="K253" s="22"/>
      <c r="N253" s="22"/>
    </row>
    <row r="254">
      <c r="E254" s="22"/>
      <c r="H254" s="22"/>
      <c r="K254" s="22"/>
      <c r="N254" s="22"/>
    </row>
    <row r="255">
      <c r="E255" s="22"/>
      <c r="H255" s="22"/>
      <c r="K255" s="22"/>
      <c r="N255" s="22"/>
    </row>
    <row r="256">
      <c r="E256" s="22"/>
      <c r="H256" s="22"/>
      <c r="K256" s="22"/>
      <c r="N256" s="22"/>
    </row>
    <row r="257">
      <c r="E257" s="22"/>
      <c r="H257" s="22"/>
      <c r="K257" s="22"/>
      <c r="N257" s="22"/>
    </row>
    <row r="258">
      <c r="E258" s="22"/>
      <c r="H258" s="22"/>
      <c r="K258" s="22"/>
      <c r="N258" s="22"/>
    </row>
    <row r="259">
      <c r="E259" s="22"/>
      <c r="H259" s="22"/>
      <c r="K259" s="22"/>
      <c r="N259" s="22"/>
    </row>
    <row r="260">
      <c r="E260" s="22"/>
      <c r="H260" s="22"/>
      <c r="K260" s="22"/>
      <c r="N260" s="22"/>
    </row>
    <row r="261">
      <c r="E261" s="22"/>
      <c r="H261" s="22"/>
      <c r="K261" s="22"/>
      <c r="N261" s="22"/>
    </row>
    <row r="262">
      <c r="E262" s="22"/>
      <c r="H262" s="22"/>
      <c r="K262" s="22"/>
      <c r="N262" s="22"/>
    </row>
    <row r="263">
      <c r="E263" s="22"/>
      <c r="H263" s="22"/>
      <c r="K263" s="22"/>
      <c r="N263" s="22"/>
    </row>
    <row r="264">
      <c r="E264" s="22"/>
      <c r="H264" s="22"/>
      <c r="K264" s="22"/>
      <c r="N264" s="22"/>
    </row>
    <row r="265">
      <c r="E265" s="22"/>
      <c r="H265" s="22"/>
      <c r="K265" s="22"/>
      <c r="N265" s="22"/>
    </row>
    <row r="266">
      <c r="E266" s="22"/>
      <c r="H266" s="22"/>
      <c r="K266" s="22"/>
      <c r="N266" s="22"/>
    </row>
    <row r="267">
      <c r="E267" s="22"/>
      <c r="H267" s="22"/>
      <c r="K267" s="22"/>
      <c r="N267" s="22"/>
    </row>
    <row r="268">
      <c r="E268" s="22"/>
      <c r="H268" s="22"/>
      <c r="K268" s="22"/>
      <c r="N268" s="22"/>
    </row>
    <row r="269">
      <c r="E269" s="22"/>
      <c r="H269" s="22"/>
      <c r="K269" s="22"/>
      <c r="N269" s="22"/>
    </row>
    <row r="270">
      <c r="E270" s="22"/>
      <c r="H270" s="22"/>
      <c r="K270" s="22"/>
      <c r="N270" s="22"/>
    </row>
    <row r="271">
      <c r="E271" s="22"/>
      <c r="H271" s="22"/>
      <c r="K271" s="22"/>
      <c r="N271" s="22"/>
    </row>
    <row r="272">
      <c r="E272" s="22"/>
      <c r="H272" s="22"/>
      <c r="K272" s="22"/>
      <c r="N272" s="22"/>
    </row>
    <row r="273">
      <c r="E273" s="22"/>
      <c r="H273" s="22"/>
      <c r="K273" s="22"/>
      <c r="N273" s="22"/>
    </row>
    <row r="274">
      <c r="E274" s="22"/>
      <c r="H274" s="22"/>
      <c r="K274" s="22"/>
      <c r="N274" s="22"/>
    </row>
    <row r="275">
      <c r="E275" s="22"/>
      <c r="H275" s="22"/>
      <c r="K275" s="22"/>
      <c r="N275" s="22"/>
    </row>
    <row r="276">
      <c r="E276" s="22"/>
      <c r="H276" s="22"/>
      <c r="K276" s="22"/>
      <c r="N276" s="22"/>
    </row>
    <row r="277">
      <c r="E277" s="22"/>
      <c r="H277" s="22"/>
      <c r="K277" s="22"/>
      <c r="N277" s="22"/>
    </row>
    <row r="278">
      <c r="E278" s="22"/>
      <c r="H278" s="22"/>
      <c r="K278" s="22"/>
      <c r="N278" s="22"/>
    </row>
    <row r="279">
      <c r="E279" s="22"/>
      <c r="H279" s="22"/>
      <c r="K279" s="22"/>
      <c r="N279" s="22"/>
    </row>
    <row r="280">
      <c r="E280" s="22"/>
      <c r="H280" s="22"/>
      <c r="K280" s="22"/>
      <c r="N280" s="22"/>
    </row>
    <row r="281">
      <c r="E281" s="22"/>
      <c r="H281" s="22"/>
      <c r="K281" s="22"/>
      <c r="N281" s="22"/>
    </row>
    <row r="282">
      <c r="E282" s="22"/>
      <c r="H282" s="22"/>
      <c r="K282" s="22"/>
      <c r="N282" s="22"/>
    </row>
    <row r="283">
      <c r="E283" s="22"/>
      <c r="H283" s="22"/>
      <c r="K283" s="22"/>
      <c r="N283" s="22"/>
    </row>
    <row r="284">
      <c r="E284" s="22"/>
      <c r="H284" s="22"/>
      <c r="K284" s="22"/>
      <c r="N284" s="22"/>
    </row>
    <row r="285">
      <c r="E285" s="22"/>
      <c r="H285" s="22"/>
      <c r="K285" s="22"/>
      <c r="N285" s="22"/>
    </row>
    <row r="286">
      <c r="E286" s="22"/>
      <c r="H286" s="22"/>
      <c r="K286" s="22"/>
      <c r="N286" s="22"/>
    </row>
    <row r="287">
      <c r="E287" s="22"/>
      <c r="H287" s="22"/>
      <c r="K287" s="22"/>
      <c r="N287" s="22"/>
    </row>
    <row r="288">
      <c r="E288" s="22"/>
      <c r="H288" s="22"/>
      <c r="K288" s="22"/>
      <c r="N288" s="22"/>
    </row>
    <row r="289">
      <c r="E289" s="22"/>
      <c r="H289" s="22"/>
      <c r="K289" s="22"/>
      <c r="N289" s="22"/>
    </row>
    <row r="290">
      <c r="E290" s="22"/>
      <c r="H290" s="22"/>
      <c r="K290" s="22"/>
      <c r="N290" s="22"/>
    </row>
    <row r="291">
      <c r="E291" s="22"/>
      <c r="H291" s="22"/>
      <c r="K291" s="22"/>
      <c r="N291" s="22"/>
    </row>
    <row r="292">
      <c r="E292" s="22"/>
      <c r="H292" s="22"/>
      <c r="K292" s="22"/>
      <c r="N292" s="22"/>
    </row>
    <row r="293">
      <c r="E293" s="22"/>
      <c r="H293" s="22"/>
      <c r="K293" s="22"/>
      <c r="N293" s="22"/>
    </row>
    <row r="294">
      <c r="E294" s="22"/>
      <c r="H294" s="22"/>
      <c r="K294" s="22"/>
      <c r="N294" s="22"/>
    </row>
    <row r="295">
      <c r="E295" s="22"/>
      <c r="H295" s="22"/>
      <c r="K295" s="22"/>
      <c r="N295" s="22"/>
    </row>
    <row r="296">
      <c r="E296" s="22"/>
      <c r="H296" s="22"/>
      <c r="K296" s="22"/>
      <c r="N296" s="22"/>
    </row>
    <row r="297">
      <c r="E297" s="22"/>
      <c r="H297" s="22"/>
      <c r="K297" s="22"/>
      <c r="N297" s="22"/>
    </row>
    <row r="298">
      <c r="E298" s="22"/>
      <c r="H298" s="22"/>
      <c r="K298" s="22"/>
      <c r="N298" s="22"/>
    </row>
    <row r="299">
      <c r="E299" s="22"/>
      <c r="H299" s="22"/>
      <c r="K299" s="22"/>
      <c r="N299" s="22"/>
    </row>
    <row r="300">
      <c r="E300" s="22"/>
      <c r="H300" s="22"/>
      <c r="K300" s="22"/>
      <c r="N300" s="22"/>
    </row>
    <row r="301">
      <c r="E301" s="22"/>
      <c r="H301" s="22"/>
      <c r="K301" s="22"/>
      <c r="N301" s="22"/>
    </row>
    <row r="302">
      <c r="E302" s="22"/>
      <c r="H302" s="22"/>
      <c r="K302" s="22"/>
      <c r="N302" s="22"/>
    </row>
    <row r="303">
      <c r="E303" s="22"/>
      <c r="H303" s="22"/>
      <c r="K303" s="22"/>
      <c r="N303" s="22"/>
    </row>
    <row r="304">
      <c r="E304" s="22"/>
      <c r="H304" s="22"/>
      <c r="K304" s="22"/>
      <c r="N304" s="22"/>
    </row>
    <row r="305">
      <c r="E305" s="22"/>
      <c r="H305" s="22"/>
      <c r="K305" s="22"/>
      <c r="N305" s="22"/>
    </row>
    <row r="306">
      <c r="E306" s="22"/>
      <c r="H306" s="22"/>
      <c r="K306" s="22"/>
      <c r="N306" s="22"/>
    </row>
    <row r="307">
      <c r="E307" s="22"/>
      <c r="H307" s="22"/>
      <c r="K307" s="22"/>
      <c r="N307" s="22"/>
    </row>
    <row r="308">
      <c r="E308" s="22"/>
      <c r="H308" s="22"/>
      <c r="K308" s="22"/>
      <c r="N308" s="22"/>
    </row>
    <row r="309">
      <c r="E309" s="22"/>
      <c r="H309" s="22"/>
      <c r="K309" s="22"/>
      <c r="N309" s="22"/>
    </row>
    <row r="310">
      <c r="E310" s="22"/>
      <c r="H310" s="22"/>
      <c r="K310" s="22"/>
      <c r="N310" s="22"/>
    </row>
    <row r="311">
      <c r="E311" s="22"/>
      <c r="H311" s="22"/>
      <c r="K311" s="22"/>
      <c r="N311" s="22"/>
    </row>
    <row r="312">
      <c r="E312" s="22"/>
      <c r="H312" s="22"/>
      <c r="K312" s="22"/>
      <c r="N312" s="22"/>
    </row>
    <row r="313">
      <c r="E313" s="22"/>
      <c r="H313" s="22"/>
      <c r="K313" s="22"/>
      <c r="N313" s="22"/>
    </row>
    <row r="314">
      <c r="E314" s="22"/>
      <c r="H314" s="22"/>
      <c r="K314" s="22"/>
      <c r="N314" s="22"/>
    </row>
    <row r="315">
      <c r="E315" s="22"/>
      <c r="H315" s="22"/>
      <c r="K315" s="22"/>
      <c r="N315" s="22"/>
    </row>
    <row r="316">
      <c r="E316" s="22"/>
      <c r="H316" s="22"/>
      <c r="K316" s="22"/>
      <c r="N316" s="22"/>
    </row>
    <row r="317">
      <c r="E317" s="22"/>
      <c r="H317" s="22"/>
      <c r="K317" s="22"/>
      <c r="N317" s="22"/>
    </row>
    <row r="318">
      <c r="E318" s="22"/>
      <c r="H318" s="22"/>
      <c r="K318" s="22"/>
      <c r="N318" s="22"/>
    </row>
    <row r="319">
      <c r="E319" s="22"/>
      <c r="H319" s="22"/>
      <c r="K319" s="22"/>
      <c r="N319" s="22"/>
    </row>
    <row r="320">
      <c r="E320" s="22"/>
      <c r="H320" s="22"/>
      <c r="K320" s="22"/>
      <c r="N320" s="22"/>
    </row>
    <row r="321">
      <c r="E321" s="22"/>
      <c r="H321" s="22"/>
      <c r="K321" s="22"/>
      <c r="N321" s="22"/>
    </row>
    <row r="322">
      <c r="E322" s="22"/>
      <c r="H322" s="22"/>
      <c r="K322" s="22"/>
      <c r="N322" s="22"/>
    </row>
    <row r="323">
      <c r="E323" s="22"/>
      <c r="H323" s="22"/>
      <c r="K323" s="22"/>
      <c r="N323" s="22"/>
    </row>
    <row r="324">
      <c r="E324" s="22"/>
      <c r="H324" s="22"/>
      <c r="K324" s="22"/>
      <c r="N324" s="22"/>
    </row>
    <row r="325">
      <c r="E325" s="22"/>
      <c r="H325" s="22"/>
      <c r="K325" s="22"/>
      <c r="N325" s="22"/>
    </row>
    <row r="326">
      <c r="E326" s="22"/>
      <c r="H326" s="22"/>
      <c r="K326" s="22"/>
      <c r="N326" s="22"/>
    </row>
    <row r="327">
      <c r="E327" s="22"/>
      <c r="H327" s="22"/>
      <c r="K327" s="22"/>
      <c r="N327" s="22"/>
    </row>
    <row r="328">
      <c r="E328" s="22"/>
      <c r="H328" s="22"/>
      <c r="K328" s="22"/>
      <c r="N328" s="22"/>
    </row>
    <row r="329">
      <c r="E329" s="22"/>
      <c r="H329" s="22"/>
      <c r="K329" s="22"/>
      <c r="N329" s="22"/>
    </row>
    <row r="330">
      <c r="E330" s="22"/>
      <c r="H330" s="22"/>
      <c r="K330" s="22"/>
      <c r="N330" s="22"/>
    </row>
    <row r="331">
      <c r="E331" s="22"/>
      <c r="H331" s="22"/>
      <c r="K331" s="22"/>
      <c r="N331" s="22"/>
    </row>
    <row r="332">
      <c r="E332" s="22"/>
      <c r="H332" s="22"/>
      <c r="K332" s="22"/>
      <c r="N332" s="22"/>
    </row>
    <row r="333">
      <c r="E333" s="22"/>
      <c r="H333" s="22"/>
      <c r="K333" s="22"/>
      <c r="N333" s="22"/>
    </row>
    <row r="334">
      <c r="E334" s="22"/>
      <c r="H334" s="22"/>
      <c r="K334" s="22"/>
      <c r="N334" s="22"/>
    </row>
    <row r="335">
      <c r="E335" s="22"/>
      <c r="H335" s="22"/>
      <c r="K335" s="22"/>
      <c r="N335" s="22"/>
    </row>
    <row r="336">
      <c r="E336" s="22"/>
      <c r="H336" s="22"/>
      <c r="K336" s="22"/>
      <c r="N336" s="22"/>
    </row>
    <row r="337">
      <c r="E337" s="22"/>
      <c r="H337" s="22"/>
      <c r="K337" s="22"/>
      <c r="N337" s="22"/>
    </row>
    <row r="338">
      <c r="E338" s="22"/>
      <c r="H338" s="22"/>
      <c r="K338" s="22"/>
      <c r="N338" s="22"/>
    </row>
    <row r="339">
      <c r="E339" s="22"/>
      <c r="H339" s="22"/>
      <c r="K339" s="22"/>
      <c r="N339" s="22"/>
    </row>
    <row r="340">
      <c r="E340" s="22"/>
      <c r="H340" s="22"/>
      <c r="K340" s="22"/>
      <c r="N340" s="22"/>
    </row>
    <row r="341">
      <c r="E341" s="22"/>
      <c r="H341" s="22"/>
      <c r="K341" s="22"/>
      <c r="N341" s="22"/>
    </row>
    <row r="342">
      <c r="E342" s="22"/>
      <c r="H342" s="22"/>
      <c r="K342" s="22"/>
      <c r="N342" s="22"/>
    </row>
    <row r="343">
      <c r="E343" s="22"/>
      <c r="H343" s="22"/>
      <c r="K343" s="22"/>
      <c r="N343" s="22"/>
    </row>
    <row r="344">
      <c r="E344" s="22"/>
      <c r="H344" s="22"/>
      <c r="K344" s="22"/>
      <c r="N344" s="22"/>
    </row>
    <row r="345">
      <c r="E345" s="22"/>
      <c r="H345" s="22"/>
      <c r="K345" s="22"/>
      <c r="N345" s="22"/>
    </row>
    <row r="346">
      <c r="E346" s="22"/>
      <c r="H346" s="22"/>
      <c r="K346" s="22"/>
      <c r="N346" s="22"/>
    </row>
    <row r="347">
      <c r="E347" s="22"/>
      <c r="H347" s="22"/>
      <c r="K347" s="22"/>
      <c r="N347" s="22"/>
    </row>
    <row r="348">
      <c r="E348" s="22"/>
      <c r="H348" s="22"/>
      <c r="K348" s="22"/>
      <c r="N348" s="22"/>
    </row>
    <row r="349">
      <c r="E349" s="22"/>
      <c r="H349" s="22"/>
      <c r="K349" s="22"/>
      <c r="N349" s="22"/>
    </row>
    <row r="350">
      <c r="E350" s="22"/>
      <c r="H350" s="22"/>
      <c r="K350" s="22"/>
      <c r="N350" s="22"/>
    </row>
    <row r="351">
      <c r="E351" s="22"/>
      <c r="H351" s="22"/>
      <c r="K351" s="22"/>
      <c r="N351" s="22"/>
    </row>
    <row r="352">
      <c r="E352" s="22"/>
      <c r="H352" s="22"/>
      <c r="K352" s="22"/>
      <c r="N352" s="22"/>
    </row>
    <row r="353">
      <c r="E353" s="22"/>
      <c r="H353" s="22"/>
      <c r="K353" s="22"/>
      <c r="N353" s="22"/>
    </row>
    <row r="354">
      <c r="E354" s="22"/>
      <c r="H354" s="22"/>
      <c r="K354" s="22"/>
      <c r="N354" s="22"/>
    </row>
    <row r="355">
      <c r="E355" s="22"/>
      <c r="H355" s="22"/>
      <c r="K355" s="22"/>
      <c r="N355" s="22"/>
    </row>
    <row r="356">
      <c r="E356" s="22"/>
      <c r="H356" s="22"/>
      <c r="K356" s="22"/>
      <c r="N356" s="22"/>
    </row>
    <row r="357">
      <c r="E357" s="22"/>
      <c r="H357" s="22"/>
      <c r="K357" s="22"/>
      <c r="N357" s="22"/>
    </row>
    <row r="358">
      <c r="E358" s="22"/>
      <c r="H358" s="22"/>
      <c r="K358" s="22"/>
      <c r="N358" s="22"/>
    </row>
    <row r="359">
      <c r="E359" s="22"/>
      <c r="H359" s="22"/>
      <c r="K359" s="22"/>
      <c r="N359" s="22"/>
    </row>
    <row r="360">
      <c r="E360" s="22"/>
      <c r="H360" s="22"/>
      <c r="K360" s="22"/>
      <c r="N360" s="22"/>
    </row>
    <row r="361">
      <c r="E361" s="22"/>
      <c r="H361" s="22"/>
      <c r="K361" s="22"/>
      <c r="N361" s="22"/>
    </row>
    <row r="362">
      <c r="E362" s="22"/>
      <c r="H362" s="22"/>
      <c r="K362" s="22"/>
      <c r="N362" s="22"/>
    </row>
    <row r="363">
      <c r="E363" s="22"/>
      <c r="H363" s="22"/>
      <c r="K363" s="22"/>
      <c r="N363" s="22"/>
    </row>
    <row r="364">
      <c r="E364" s="22"/>
      <c r="H364" s="22"/>
      <c r="K364" s="22"/>
      <c r="N364" s="22"/>
    </row>
    <row r="365">
      <c r="E365" s="22"/>
      <c r="H365" s="22"/>
      <c r="K365" s="22"/>
      <c r="N365" s="22"/>
    </row>
    <row r="366">
      <c r="E366" s="22"/>
      <c r="H366" s="22"/>
      <c r="K366" s="22"/>
      <c r="N366" s="22"/>
    </row>
    <row r="367">
      <c r="E367" s="22"/>
      <c r="H367" s="22"/>
      <c r="K367" s="22"/>
      <c r="N367" s="22"/>
    </row>
    <row r="368">
      <c r="E368" s="22"/>
      <c r="H368" s="22"/>
      <c r="K368" s="22"/>
      <c r="N368" s="22"/>
    </row>
    <row r="369">
      <c r="E369" s="22"/>
      <c r="H369" s="22"/>
      <c r="K369" s="22"/>
      <c r="N369" s="22"/>
    </row>
    <row r="370">
      <c r="E370" s="22"/>
      <c r="H370" s="22"/>
      <c r="K370" s="22"/>
      <c r="N370" s="22"/>
    </row>
    <row r="371">
      <c r="E371" s="22"/>
      <c r="H371" s="22"/>
      <c r="K371" s="22"/>
      <c r="N371" s="22"/>
    </row>
    <row r="372">
      <c r="E372" s="22"/>
      <c r="H372" s="22"/>
      <c r="K372" s="22"/>
      <c r="N372" s="22"/>
    </row>
    <row r="373">
      <c r="E373" s="22"/>
      <c r="H373" s="22"/>
      <c r="K373" s="22"/>
      <c r="N373" s="22"/>
    </row>
    <row r="374">
      <c r="E374" s="22"/>
      <c r="H374" s="22"/>
      <c r="K374" s="22"/>
      <c r="N374" s="22"/>
    </row>
    <row r="375">
      <c r="E375" s="22"/>
      <c r="H375" s="22"/>
      <c r="K375" s="22"/>
      <c r="N375" s="22"/>
    </row>
    <row r="376">
      <c r="E376" s="22"/>
      <c r="H376" s="22"/>
      <c r="K376" s="22"/>
      <c r="N376" s="22"/>
    </row>
    <row r="377">
      <c r="E377" s="22"/>
      <c r="H377" s="22"/>
      <c r="K377" s="22"/>
      <c r="N377" s="22"/>
    </row>
    <row r="378">
      <c r="E378" s="22"/>
      <c r="H378" s="22"/>
      <c r="K378" s="22"/>
      <c r="N378" s="22"/>
    </row>
    <row r="379">
      <c r="E379" s="22"/>
      <c r="H379" s="22"/>
      <c r="K379" s="22"/>
      <c r="N379" s="22"/>
    </row>
    <row r="380">
      <c r="E380" s="22"/>
      <c r="H380" s="22"/>
      <c r="K380" s="22"/>
      <c r="N380" s="22"/>
    </row>
    <row r="381">
      <c r="E381" s="22"/>
      <c r="H381" s="22"/>
      <c r="K381" s="22"/>
      <c r="N381" s="22"/>
    </row>
    <row r="382">
      <c r="E382" s="22"/>
      <c r="H382" s="22"/>
      <c r="K382" s="22"/>
      <c r="N382" s="22"/>
    </row>
    <row r="383">
      <c r="E383" s="22"/>
      <c r="H383" s="22"/>
      <c r="K383" s="22"/>
      <c r="N383" s="22"/>
    </row>
    <row r="384">
      <c r="E384" s="22"/>
      <c r="H384" s="22"/>
      <c r="K384" s="22"/>
      <c r="N384" s="22"/>
    </row>
    <row r="385">
      <c r="E385" s="22"/>
      <c r="H385" s="22"/>
      <c r="K385" s="22"/>
      <c r="N385" s="22"/>
    </row>
    <row r="386">
      <c r="E386" s="22"/>
      <c r="H386" s="22"/>
      <c r="K386" s="22"/>
      <c r="N386" s="22"/>
    </row>
    <row r="387">
      <c r="E387" s="22"/>
      <c r="H387" s="22"/>
      <c r="K387" s="22"/>
      <c r="N387" s="22"/>
    </row>
    <row r="388">
      <c r="E388" s="22"/>
      <c r="H388" s="22"/>
      <c r="K388" s="22"/>
      <c r="N388" s="22"/>
    </row>
    <row r="389">
      <c r="E389" s="22"/>
      <c r="H389" s="22"/>
      <c r="K389" s="22"/>
      <c r="N389" s="22"/>
    </row>
    <row r="390">
      <c r="E390" s="22"/>
      <c r="H390" s="22"/>
      <c r="K390" s="22"/>
      <c r="N390" s="22"/>
    </row>
    <row r="391">
      <c r="E391" s="22"/>
      <c r="H391" s="22"/>
      <c r="K391" s="22"/>
      <c r="N391" s="22"/>
    </row>
    <row r="392">
      <c r="E392" s="22"/>
      <c r="H392" s="22"/>
      <c r="K392" s="22"/>
      <c r="N392" s="22"/>
    </row>
    <row r="393">
      <c r="E393" s="22"/>
      <c r="H393" s="22"/>
      <c r="K393" s="22"/>
      <c r="N393" s="22"/>
    </row>
    <row r="394">
      <c r="E394" s="22"/>
      <c r="H394" s="22"/>
      <c r="K394" s="22"/>
      <c r="N394" s="22"/>
    </row>
    <row r="395">
      <c r="E395" s="22"/>
      <c r="H395" s="22"/>
      <c r="K395" s="22"/>
      <c r="N395" s="22"/>
    </row>
    <row r="396">
      <c r="E396" s="22"/>
      <c r="H396" s="22"/>
      <c r="K396" s="22"/>
      <c r="N396" s="22"/>
    </row>
    <row r="397">
      <c r="E397" s="22"/>
      <c r="H397" s="22"/>
      <c r="K397" s="22"/>
      <c r="N397" s="22"/>
    </row>
    <row r="398">
      <c r="E398" s="22"/>
      <c r="H398" s="22"/>
      <c r="K398" s="22"/>
      <c r="N398" s="22"/>
    </row>
    <row r="399">
      <c r="E399" s="22"/>
      <c r="H399" s="22"/>
      <c r="K399" s="22"/>
      <c r="N399" s="22"/>
    </row>
    <row r="400">
      <c r="E400" s="22"/>
      <c r="H400" s="22"/>
      <c r="K400" s="22"/>
      <c r="N400" s="22"/>
    </row>
    <row r="401">
      <c r="E401" s="22"/>
      <c r="H401" s="22"/>
      <c r="K401" s="22"/>
      <c r="N401" s="22"/>
    </row>
    <row r="402">
      <c r="E402" s="22"/>
      <c r="H402" s="22"/>
      <c r="K402" s="22"/>
      <c r="N402" s="22"/>
    </row>
    <row r="403">
      <c r="E403" s="22"/>
      <c r="H403" s="22"/>
      <c r="K403" s="22"/>
      <c r="N403" s="22"/>
    </row>
    <row r="404">
      <c r="E404" s="22"/>
      <c r="H404" s="22"/>
      <c r="K404" s="22"/>
      <c r="N404" s="22"/>
    </row>
    <row r="405">
      <c r="E405" s="22"/>
      <c r="H405" s="22"/>
      <c r="K405" s="22"/>
      <c r="N405" s="22"/>
    </row>
    <row r="406">
      <c r="E406" s="22"/>
      <c r="H406" s="22"/>
      <c r="K406" s="22"/>
      <c r="N406" s="22"/>
    </row>
    <row r="407">
      <c r="E407" s="22"/>
      <c r="H407" s="22"/>
      <c r="K407" s="22"/>
      <c r="N407" s="22"/>
    </row>
    <row r="408">
      <c r="E408" s="22"/>
      <c r="H408" s="22"/>
      <c r="K408" s="22"/>
      <c r="N408" s="22"/>
    </row>
    <row r="409">
      <c r="E409" s="22"/>
      <c r="H409" s="22"/>
      <c r="K409" s="22"/>
      <c r="N409" s="22"/>
    </row>
    <row r="410">
      <c r="E410" s="22"/>
      <c r="H410" s="22"/>
      <c r="K410" s="22"/>
      <c r="N410" s="22"/>
    </row>
    <row r="411">
      <c r="E411" s="22"/>
      <c r="H411" s="22"/>
      <c r="K411" s="22"/>
      <c r="N411" s="22"/>
    </row>
    <row r="412">
      <c r="E412" s="22"/>
      <c r="H412" s="22"/>
      <c r="K412" s="22"/>
      <c r="N412" s="22"/>
    </row>
    <row r="413">
      <c r="E413" s="22"/>
      <c r="H413" s="22"/>
      <c r="K413" s="22"/>
      <c r="N413" s="22"/>
    </row>
    <row r="414">
      <c r="E414" s="22"/>
      <c r="H414" s="22"/>
      <c r="K414" s="22"/>
      <c r="N414" s="22"/>
    </row>
    <row r="415">
      <c r="E415" s="22"/>
      <c r="H415" s="22"/>
      <c r="K415" s="22"/>
      <c r="N415" s="22"/>
    </row>
    <row r="416">
      <c r="E416" s="22"/>
      <c r="H416" s="22"/>
      <c r="K416" s="22"/>
      <c r="N416" s="22"/>
    </row>
    <row r="417">
      <c r="E417" s="22"/>
      <c r="H417" s="22"/>
      <c r="K417" s="22"/>
      <c r="N417" s="22"/>
    </row>
    <row r="418">
      <c r="E418" s="22"/>
      <c r="H418" s="22"/>
      <c r="K418" s="22"/>
      <c r="N418" s="22"/>
    </row>
    <row r="419">
      <c r="E419" s="22"/>
      <c r="H419" s="22"/>
      <c r="K419" s="22"/>
      <c r="N419" s="22"/>
    </row>
    <row r="420">
      <c r="E420" s="22"/>
      <c r="H420" s="22"/>
      <c r="K420" s="22"/>
      <c r="N420" s="22"/>
    </row>
    <row r="421">
      <c r="E421" s="22"/>
      <c r="H421" s="22"/>
      <c r="K421" s="22"/>
      <c r="N421" s="22"/>
    </row>
    <row r="422">
      <c r="E422" s="22"/>
      <c r="H422" s="22"/>
      <c r="K422" s="22"/>
      <c r="N422" s="22"/>
    </row>
    <row r="423">
      <c r="E423" s="22"/>
      <c r="H423" s="22"/>
      <c r="K423" s="22"/>
      <c r="N423" s="22"/>
    </row>
    <row r="424">
      <c r="E424" s="22"/>
      <c r="H424" s="22"/>
      <c r="K424" s="22"/>
      <c r="N424" s="22"/>
    </row>
    <row r="425">
      <c r="E425" s="22"/>
      <c r="H425" s="22"/>
      <c r="K425" s="22"/>
      <c r="N425" s="22"/>
    </row>
    <row r="426">
      <c r="E426" s="22"/>
      <c r="H426" s="22"/>
      <c r="K426" s="22"/>
      <c r="N426" s="22"/>
    </row>
    <row r="427">
      <c r="E427" s="22"/>
      <c r="H427" s="22"/>
      <c r="K427" s="22"/>
      <c r="N427" s="22"/>
    </row>
    <row r="428">
      <c r="E428" s="22"/>
      <c r="H428" s="22"/>
      <c r="K428" s="22"/>
      <c r="N428" s="22"/>
    </row>
    <row r="429">
      <c r="E429" s="22"/>
      <c r="H429" s="22"/>
      <c r="K429" s="22"/>
      <c r="N429" s="22"/>
    </row>
    <row r="430">
      <c r="E430" s="22"/>
      <c r="H430" s="22"/>
      <c r="K430" s="22"/>
      <c r="N430" s="22"/>
    </row>
    <row r="431">
      <c r="E431" s="22"/>
      <c r="H431" s="22"/>
      <c r="K431" s="22"/>
      <c r="N431" s="22"/>
    </row>
    <row r="432">
      <c r="E432" s="22"/>
      <c r="H432" s="22"/>
      <c r="K432" s="22"/>
      <c r="N432" s="22"/>
    </row>
    <row r="433">
      <c r="E433" s="22"/>
      <c r="H433" s="22"/>
      <c r="K433" s="22"/>
      <c r="N433" s="22"/>
    </row>
    <row r="434">
      <c r="E434" s="22"/>
      <c r="H434" s="22"/>
      <c r="K434" s="22"/>
      <c r="N434" s="22"/>
    </row>
    <row r="435">
      <c r="E435" s="22"/>
      <c r="H435" s="22"/>
      <c r="K435" s="22"/>
      <c r="N435" s="22"/>
    </row>
    <row r="436">
      <c r="E436" s="22"/>
      <c r="H436" s="22"/>
      <c r="K436" s="22"/>
      <c r="N436" s="22"/>
    </row>
    <row r="437">
      <c r="E437" s="22"/>
      <c r="H437" s="22"/>
      <c r="K437" s="22"/>
      <c r="N437" s="22"/>
    </row>
    <row r="438">
      <c r="E438" s="22"/>
      <c r="H438" s="22"/>
      <c r="K438" s="22"/>
      <c r="N438" s="22"/>
    </row>
    <row r="439">
      <c r="E439" s="22"/>
      <c r="H439" s="22"/>
      <c r="K439" s="22"/>
      <c r="N439" s="22"/>
    </row>
    <row r="440">
      <c r="E440" s="22"/>
      <c r="H440" s="22"/>
      <c r="K440" s="22"/>
      <c r="N440" s="22"/>
    </row>
    <row r="441">
      <c r="E441" s="22"/>
      <c r="H441" s="22"/>
      <c r="K441" s="22"/>
      <c r="N441" s="22"/>
    </row>
    <row r="442">
      <c r="E442" s="22"/>
      <c r="H442" s="22"/>
      <c r="K442" s="22"/>
      <c r="N442" s="22"/>
    </row>
    <row r="443">
      <c r="E443" s="22"/>
      <c r="H443" s="22"/>
      <c r="K443" s="22"/>
      <c r="N443" s="22"/>
    </row>
    <row r="444">
      <c r="E444" s="22"/>
      <c r="H444" s="22"/>
      <c r="K444" s="22"/>
      <c r="N444" s="22"/>
    </row>
    <row r="445">
      <c r="E445" s="22"/>
      <c r="H445" s="22"/>
      <c r="K445" s="22"/>
      <c r="N445" s="22"/>
    </row>
    <row r="446">
      <c r="E446" s="22"/>
      <c r="H446" s="22"/>
      <c r="K446" s="22"/>
      <c r="N446" s="22"/>
    </row>
    <row r="447">
      <c r="E447" s="22"/>
      <c r="H447" s="22"/>
      <c r="K447" s="22"/>
      <c r="N447" s="22"/>
    </row>
    <row r="448">
      <c r="E448" s="22"/>
      <c r="H448" s="22"/>
      <c r="K448" s="22"/>
      <c r="N448" s="22"/>
    </row>
    <row r="449">
      <c r="E449" s="22"/>
      <c r="H449" s="22"/>
      <c r="K449" s="22"/>
      <c r="N449" s="22"/>
    </row>
    <row r="450">
      <c r="E450" s="22"/>
      <c r="H450" s="22"/>
      <c r="K450" s="22"/>
      <c r="N450" s="22"/>
    </row>
    <row r="451">
      <c r="E451" s="22"/>
      <c r="H451" s="22"/>
      <c r="K451" s="22"/>
      <c r="N451" s="22"/>
    </row>
    <row r="452">
      <c r="E452" s="22"/>
      <c r="H452" s="22"/>
      <c r="K452" s="22"/>
      <c r="N452" s="22"/>
    </row>
    <row r="453">
      <c r="E453" s="22"/>
      <c r="H453" s="22"/>
      <c r="K453" s="22"/>
      <c r="N453" s="22"/>
    </row>
    <row r="454">
      <c r="E454" s="22"/>
      <c r="H454" s="22"/>
      <c r="K454" s="22"/>
      <c r="N454" s="22"/>
    </row>
    <row r="455">
      <c r="E455" s="22"/>
      <c r="H455" s="22"/>
      <c r="K455" s="22"/>
      <c r="N455" s="22"/>
    </row>
    <row r="456">
      <c r="E456" s="22"/>
      <c r="H456" s="22"/>
      <c r="K456" s="22"/>
      <c r="N456" s="22"/>
    </row>
    <row r="457">
      <c r="E457" s="22"/>
      <c r="H457" s="22"/>
      <c r="K457" s="22"/>
      <c r="N457" s="22"/>
    </row>
    <row r="458">
      <c r="E458" s="22"/>
      <c r="H458" s="22"/>
      <c r="K458" s="22"/>
      <c r="N458" s="22"/>
    </row>
    <row r="459">
      <c r="E459" s="22"/>
      <c r="H459" s="22"/>
      <c r="K459" s="22"/>
      <c r="N459" s="22"/>
    </row>
    <row r="460">
      <c r="E460" s="22"/>
      <c r="H460" s="22"/>
      <c r="K460" s="22"/>
      <c r="N460" s="22"/>
    </row>
    <row r="461">
      <c r="E461" s="22"/>
      <c r="H461" s="22"/>
      <c r="K461" s="22"/>
      <c r="N461" s="22"/>
    </row>
    <row r="462">
      <c r="E462" s="22"/>
      <c r="H462" s="22"/>
      <c r="K462" s="22"/>
      <c r="N462" s="22"/>
    </row>
    <row r="463">
      <c r="E463" s="22"/>
      <c r="H463" s="22"/>
      <c r="K463" s="22"/>
      <c r="N463" s="22"/>
    </row>
    <row r="464">
      <c r="E464" s="22"/>
      <c r="H464" s="22"/>
      <c r="K464" s="22"/>
      <c r="N464" s="22"/>
    </row>
    <row r="465">
      <c r="E465" s="22"/>
      <c r="H465" s="22"/>
      <c r="K465" s="22"/>
      <c r="N465" s="22"/>
    </row>
    <row r="466">
      <c r="E466" s="22"/>
      <c r="H466" s="22"/>
      <c r="K466" s="22"/>
      <c r="N466" s="22"/>
    </row>
    <row r="467">
      <c r="E467" s="22"/>
      <c r="H467" s="22"/>
      <c r="K467" s="22"/>
      <c r="N467" s="22"/>
    </row>
    <row r="468">
      <c r="E468" s="22"/>
      <c r="H468" s="22"/>
      <c r="K468" s="22"/>
      <c r="N468" s="22"/>
    </row>
    <row r="469">
      <c r="E469" s="22"/>
      <c r="H469" s="22"/>
      <c r="K469" s="22"/>
      <c r="N469" s="22"/>
    </row>
    <row r="470">
      <c r="E470" s="22"/>
      <c r="H470" s="22"/>
      <c r="K470" s="22"/>
      <c r="N470" s="22"/>
    </row>
    <row r="471">
      <c r="E471" s="22"/>
      <c r="H471" s="22"/>
      <c r="K471" s="22"/>
      <c r="N471" s="22"/>
    </row>
    <row r="472">
      <c r="E472" s="22"/>
      <c r="H472" s="22"/>
      <c r="K472" s="22"/>
      <c r="N472" s="22"/>
    </row>
    <row r="473">
      <c r="E473" s="22"/>
      <c r="H473" s="22"/>
      <c r="K473" s="22"/>
      <c r="N473" s="22"/>
    </row>
    <row r="474">
      <c r="E474" s="22"/>
      <c r="H474" s="22"/>
      <c r="K474" s="22"/>
      <c r="N474" s="22"/>
    </row>
    <row r="475">
      <c r="E475" s="22"/>
      <c r="H475" s="22"/>
      <c r="K475" s="22"/>
      <c r="N475" s="22"/>
    </row>
    <row r="476">
      <c r="E476" s="22"/>
      <c r="H476" s="22"/>
      <c r="K476" s="22"/>
      <c r="N476" s="22"/>
    </row>
    <row r="477">
      <c r="E477" s="22"/>
      <c r="H477" s="22"/>
      <c r="K477" s="22"/>
      <c r="N477" s="22"/>
    </row>
    <row r="478">
      <c r="E478" s="22"/>
      <c r="H478" s="22"/>
      <c r="K478" s="22"/>
      <c r="N478" s="22"/>
    </row>
    <row r="479">
      <c r="E479" s="22"/>
      <c r="H479" s="22"/>
      <c r="K479" s="22"/>
      <c r="N479" s="22"/>
    </row>
    <row r="480">
      <c r="E480" s="22"/>
      <c r="H480" s="22"/>
      <c r="K480" s="22"/>
      <c r="N480" s="22"/>
    </row>
    <row r="481">
      <c r="E481" s="22"/>
      <c r="H481" s="22"/>
      <c r="K481" s="22"/>
      <c r="N481" s="22"/>
    </row>
    <row r="482">
      <c r="E482" s="22"/>
      <c r="H482" s="22"/>
      <c r="K482" s="22"/>
      <c r="N482" s="22"/>
    </row>
    <row r="483">
      <c r="E483" s="22"/>
      <c r="H483" s="22"/>
      <c r="K483" s="22"/>
      <c r="N483" s="22"/>
    </row>
    <row r="484">
      <c r="E484" s="22"/>
      <c r="H484" s="22"/>
      <c r="K484" s="22"/>
      <c r="N484" s="22"/>
    </row>
    <row r="485">
      <c r="E485" s="22"/>
      <c r="H485" s="22"/>
      <c r="K485" s="22"/>
      <c r="N485" s="22"/>
    </row>
    <row r="486">
      <c r="E486" s="22"/>
      <c r="H486" s="22"/>
      <c r="K486" s="22"/>
      <c r="N486" s="22"/>
    </row>
    <row r="487">
      <c r="E487" s="22"/>
      <c r="H487" s="22"/>
      <c r="K487" s="22"/>
      <c r="N487" s="22"/>
    </row>
    <row r="488">
      <c r="E488" s="22"/>
      <c r="H488" s="22"/>
      <c r="K488" s="22"/>
      <c r="N488" s="22"/>
    </row>
    <row r="489">
      <c r="E489" s="22"/>
      <c r="H489" s="22"/>
      <c r="K489" s="22"/>
      <c r="N489" s="22"/>
    </row>
    <row r="490">
      <c r="E490" s="22"/>
      <c r="H490" s="22"/>
      <c r="K490" s="22"/>
      <c r="N490" s="22"/>
    </row>
    <row r="491">
      <c r="E491" s="22"/>
      <c r="H491" s="22"/>
      <c r="K491" s="22"/>
      <c r="N491" s="22"/>
    </row>
    <row r="492">
      <c r="E492" s="22"/>
      <c r="H492" s="22"/>
      <c r="K492" s="22"/>
      <c r="N492" s="22"/>
    </row>
    <row r="493">
      <c r="E493" s="22"/>
      <c r="H493" s="22"/>
      <c r="K493" s="22"/>
      <c r="N493" s="22"/>
    </row>
    <row r="494">
      <c r="E494" s="22"/>
      <c r="H494" s="22"/>
      <c r="K494" s="22"/>
      <c r="N494" s="22"/>
    </row>
    <row r="495">
      <c r="E495" s="22"/>
      <c r="H495" s="22"/>
      <c r="K495" s="22"/>
      <c r="N495" s="22"/>
    </row>
    <row r="496">
      <c r="E496" s="22"/>
      <c r="H496" s="22"/>
      <c r="K496" s="22"/>
      <c r="N496" s="22"/>
    </row>
    <row r="497">
      <c r="E497" s="22"/>
      <c r="H497" s="22"/>
      <c r="K497" s="22"/>
      <c r="N497" s="22"/>
    </row>
    <row r="498">
      <c r="E498" s="22"/>
      <c r="H498" s="22"/>
      <c r="K498" s="22"/>
      <c r="N498" s="22"/>
    </row>
    <row r="499">
      <c r="E499" s="22"/>
      <c r="H499" s="22"/>
      <c r="K499" s="22"/>
      <c r="N499" s="22"/>
    </row>
    <row r="500">
      <c r="E500" s="22"/>
      <c r="H500" s="22"/>
      <c r="K500" s="22"/>
      <c r="N500" s="22"/>
    </row>
    <row r="501">
      <c r="E501" s="22"/>
      <c r="H501" s="22"/>
      <c r="K501" s="22"/>
      <c r="N501" s="22"/>
    </row>
    <row r="502">
      <c r="E502" s="22"/>
      <c r="H502" s="22"/>
      <c r="K502" s="22"/>
      <c r="N502" s="22"/>
    </row>
    <row r="503">
      <c r="E503" s="22"/>
      <c r="H503" s="22"/>
      <c r="K503" s="22"/>
      <c r="N503" s="22"/>
    </row>
    <row r="504">
      <c r="E504" s="22"/>
      <c r="H504" s="22"/>
      <c r="K504" s="22"/>
      <c r="N504" s="22"/>
    </row>
    <row r="505">
      <c r="E505" s="22"/>
      <c r="H505" s="22"/>
      <c r="K505" s="22"/>
      <c r="N505" s="22"/>
    </row>
    <row r="506">
      <c r="E506" s="22"/>
      <c r="H506" s="22"/>
      <c r="K506" s="22"/>
      <c r="N506" s="22"/>
    </row>
    <row r="507">
      <c r="E507" s="22"/>
      <c r="H507" s="22"/>
      <c r="K507" s="22"/>
      <c r="N507" s="22"/>
    </row>
    <row r="508">
      <c r="E508" s="22"/>
      <c r="H508" s="22"/>
      <c r="K508" s="22"/>
      <c r="N508" s="22"/>
    </row>
    <row r="509">
      <c r="E509" s="22"/>
      <c r="H509" s="22"/>
      <c r="K509" s="22"/>
      <c r="N509" s="22"/>
    </row>
    <row r="510">
      <c r="E510" s="22"/>
      <c r="H510" s="22"/>
      <c r="K510" s="22"/>
      <c r="N510" s="22"/>
    </row>
    <row r="511">
      <c r="E511" s="22"/>
      <c r="H511" s="22"/>
      <c r="K511" s="22"/>
      <c r="N511" s="22"/>
    </row>
    <row r="512">
      <c r="E512" s="22"/>
      <c r="H512" s="22"/>
      <c r="K512" s="22"/>
      <c r="N512" s="22"/>
    </row>
    <row r="513">
      <c r="E513" s="22"/>
      <c r="H513" s="22"/>
      <c r="K513" s="22"/>
      <c r="N513" s="22"/>
    </row>
    <row r="514">
      <c r="E514" s="22"/>
      <c r="H514" s="22"/>
      <c r="K514" s="22"/>
      <c r="N514" s="22"/>
    </row>
    <row r="515">
      <c r="E515" s="22"/>
      <c r="H515" s="22"/>
      <c r="K515" s="22"/>
      <c r="N515" s="22"/>
    </row>
    <row r="516">
      <c r="E516" s="22"/>
      <c r="H516" s="22"/>
      <c r="K516" s="22"/>
      <c r="N516" s="22"/>
    </row>
    <row r="517">
      <c r="E517" s="22"/>
      <c r="H517" s="22"/>
      <c r="K517" s="22"/>
      <c r="N517" s="22"/>
    </row>
    <row r="518">
      <c r="E518" s="22"/>
      <c r="H518" s="22"/>
      <c r="K518" s="22"/>
      <c r="N518" s="22"/>
    </row>
    <row r="519">
      <c r="E519" s="22"/>
      <c r="H519" s="22"/>
      <c r="K519" s="22"/>
      <c r="N519" s="22"/>
    </row>
    <row r="520">
      <c r="E520" s="22"/>
      <c r="H520" s="22"/>
      <c r="K520" s="22"/>
      <c r="N520" s="22"/>
    </row>
    <row r="521">
      <c r="E521" s="22"/>
      <c r="H521" s="22"/>
      <c r="K521" s="22"/>
      <c r="N521" s="22"/>
    </row>
    <row r="522">
      <c r="E522" s="22"/>
      <c r="H522" s="22"/>
      <c r="K522" s="22"/>
      <c r="N522" s="22"/>
    </row>
    <row r="523">
      <c r="E523" s="22"/>
      <c r="H523" s="22"/>
      <c r="K523" s="22"/>
      <c r="N523" s="22"/>
    </row>
    <row r="524">
      <c r="E524" s="22"/>
      <c r="H524" s="22"/>
      <c r="K524" s="22"/>
      <c r="N524" s="22"/>
    </row>
    <row r="525">
      <c r="E525" s="22"/>
      <c r="H525" s="22"/>
      <c r="K525" s="22"/>
      <c r="N525" s="22"/>
    </row>
    <row r="526">
      <c r="E526" s="22"/>
      <c r="H526" s="22"/>
      <c r="K526" s="22"/>
      <c r="N526" s="22"/>
    </row>
    <row r="527">
      <c r="E527" s="22"/>
      <c r="H527" s="22"/>
      <c r="K527" s="22"/>
      <c r="N527" s="22"/>
    </row>
    <row r="528">
      <c r="E528" s="22"/>
      <c r="H528" s="22"/>
      <c r="K528" s="22"/>
      <c r="N528" s="22"/>
    </row>
    <row r="529">
      <c r="E529" s="22"/>
      <c r="H529" s="22"/>
      <c r="K529" s="22"/>
      <c r="N529" s="22"/>
    </row>
    <row r="530">
      <c r="E530" s="22"/>
      <c r="H530" s="22"/>
      <c r="K530" s="22"/>
      <c r="N530" s="22"/>
    </row>
    <row r="531">
      <c r="E531" s="22"/>
      <c r="H531" s="22"/>
      <c r="K531" s="22"/>
      <c r="N531" s="22"/>
    </row>
    <row r="532">
      <c r="E532" s="22"/>
      <c r="H532" s="22"/>
      <c r="K532" s="22"/>
      <c r="N532" s="22"/>
    </row>
    <row r="533">
      <c r="E533" s="22"/>
      <c r="H533" s="22"/>
      <c r="K533" s="22"/>
      <c r="N533" s="22"/>
    </row>
    <row r="534">
      <c r="E534" s="22"/>
      <c r="H534" s="22"/>
      <c r="K534" s="22"/>
      <c r="N534" s="22"/>
    </row>
    <row r="535">
      <c r="E535" s="22"/>
      <c r="H535" s="22"/>
      <c r="K535" s="22"/>
      <c r="N535" s="22"/>
    </row>
    <row r="536">
      <c r="E536" s="22"/>
      <c r="H536" s="22"/>
      <c r="K536" s="22"/>
      <c r="N536" s="22"/>
    </row>
    <row r="537">
      <c r="E537" s="22"/>
      <c r="H537" s="22"/>
      <c r="K537" s="22"/>
      <c r="N537" s="22"/>
    </row>
    <row r="538">
      <c r="E538" s="22"/>
      <c r="H538" s="22"/>
      <c r="K538" s="22"/>
      <c r="N538" s="22"/>
    </row>
    <row r="539">
      <c r="E539" s="22"/>
      <c r="H539" s="22"/>
      <c r="K539" s="22"/>
      <c r="N539" s="22"/>
    </row>
    <row r="540">
      <c r="E540" s="22"/>
      <c r="H540" s="22"/>
      <c r="K540" s="22"/>
      <c r="N540" s="22"/>
    </row>
    <row r="541">
      <c r="E541" s="22"/>
      <c r="H541" s="22"/>
      <c r="K541" s="22"/>
      <c r="N541" s="22"/>
    </row>
    <row r="542">
      <c r="E542" s="22"/>
      <c r="H542" s="22"/>
      <c r="K542" s="22"/>
      <c r="N542" s="22"/>
    </row>
    <row r="543">
      <c r="E543" s="22"/>
      <c r="H543" s="22"/>
      <c r="K543" s="22"/>
      <c r="N543" s="22"/>
    </row>
    <row r="544">
      <c r="E544" s="22"/>
      <c r="H544" s="22"/>
      <c r="K544" s="22"/>
      <c r="N544" s="22"/>
    </row>
    <row r="545">
      <c r="E545" s="22"/>
      <c r="H545" s="22"/>
      <c r="K545" s="22"/>
      <c r="N545" s="22"/>
    </row>
    <row r="546">
      <c r="E546" s="22"/>
      <c r="H546" s="22"/>
      <c r="K546" s="22"/>
      <c r="N546" s="22"/>
    </row>
    <row r="547">
      <c r="E547" s="22"/>
      <c r="H547" s="22"/>
      <c r="K547" s="22"/>
      <c r="N547" s="22"/>
    </row>
    <row r="548">
      <c r="E548" s="22"/>
      <c r="H548" s="22"/>
      <c r="K548" s="22"/>
      <c r="N548" s="22"/>
    </row>
    <row r="549">
      <c r="E549" s="22"/>
      <c r="H549" s="22"/>
      <c r="K549" s="22"/>
      <c r="N549" s="22"/>
    </row>
    <row r="550">
      <c r="E550" s="22"/>
      <c r="H550" s="22"/>
      <c r="K550" s="22"/>
      <c r="N550" s="22"/>
    </row>
    <row r="551">
      <c r="E551" s="22"/>
      <c r="H551" s="22"/>
      <c r="K551" s="22"/>
      <c r="N551" s="22"/>
    </row>
    <row r="552">
      <c r="E552" s="22"/>
      <c r="H552" s="22"/>
      <c r="K552" s="22"/>
      <c r="N552" s="22"/>
    </row>
    <row r="553">
      <c r="E553" s="22"/>
      <c r="H553" s="22"/>
      <c r="K553" s="22"/>
      <c r="N553" s="22"/>
    </row>
    <row r="554">
      <c r="E554" s="22"/>
      <c r="H554" s="22"/>
      <c r="K554" s="22"/>
      <c r="N554" s="22"/>
    </row>
    <row r="555">
      <c r="E555" s="22"/>
      <c r="H555" s="22"/>
      <c r="K555" s="22"/>
      <c r="N555" s="22"/>
    </row>
    <row r="556">
      <c r="E556" s="22"/>
      <c r="H556" s="22"/>
      <c r="K556" s="22"/>
      <c r="N556" s="22"/>
    </row>
    <row r="557">
      <c r="E557" s="22"/>
      <c r="H557" s="22"/>
      <c r="K557" s="22"/>
      <c r="N557" s="22"/>
    </row>
    <row r="558">
      <c r="E558" s="22"/>
      <c r="H558" s="22"/>
      <c r="K558" s="22"/>
      <c r="N558" s="22"/>
    </row>
    <row r="559">
      <c r="E559" s="22"/>
      <c r="H559" s="22"/>
      <c r="K559" s="22"/>
      <c r="N559" s="22"/>
    </row>
    <row r="560">
      <c r="E560" s="22"/>
      <c r="H560" s="22"/>
      <c r="K560" s="22"/>
      <c r="N560" s="22"/>
    </row>
    <row r="561">
      <c r="E561" s="22"/>
      <c r="H561" s="22"/>
      <c r="K561" s="22"/>
      <c r="N561" s="22"/>
    </row>
    <row r="562">
      <c r="E562" s="22"/>
      <c r="H562" s="22"/>
      <c r="K562" s="22"/>
      <c r="N562" s="22"/>
    </row>
    <row r="563">
      <c r="E563" s="22"/>
      <c r="H563" s="22"/>
      <c r="K563" s="22"/>
      <c r="N563" s="22"/>
    </row>
    <row r="564">
      <c r="E564" s="22"/>
      <c r="H564" s="22"/>
      <c r="K564" s="22"/>
      <c r="N564" s="22"/>
    </row>
    <row r="565">
      <c r="E565" s="22"/>
      <c r="H565" s="22"/>
      <c r="K565" s="22"/>
      <c r="N565" s="22"/>
    </row>
    <row r="566">
      <c r="E566" s="22"/>
      <c r="H566" s="22"/>
      <c r="K566" s="22"/>
      <c r="N566" s="22"/>
    </row>
    <row r="567">
      <c r="E567" s="22"/>
      <c r="H567" s="22"/>
      <c r="K567" s="22"/>
      <c r="N567" s="22"/>
    </row>
    <row r="568">
      <c r="E568" s="22"/>
      <c r="H568" s="22"/>
      <c r="K568" s="22"/>
      <c r="N568" s="22"/>
    </row>
    <row r="569">
      <c r="E569" s="22"/>
      <c r="H569" s="22"/>
      <c r="K569" s="22"/>
      <c r="N569" s="22"/>
    </row>
    <row r="570">
      <c r="E570" s="22"/>
      <c r="H570" s="22"/>
      <c r="K570" s="22"/>
      <c r="N570" s="22"/>
    </row>
    <row r="571">
      <c r="E571" s="22"/>
      <c r="H571" s="22"/>
      <c r="K571" s="22"/>
      <c r="N571" s="22"/>
    </row>
    <row r="572">
      <c r="E572" s="22"/>
      <c r="H572" s="22"/>
      <c r="K572" s="22"/>
      <c r="N572" s="22"/>
    </row>
    <row r="573">
      <c r="E573" s="22"/>
      <c r="H573" s="22"/>
      <c r="K573" s="22"/>
      <c r="N573" s="22"/>
    </row>
    <row r="574">
      <c r="E574" s="22"/>
      <c r="H574" s="22"/>
      <c r="K574" s="22"/>
      <c r="N574" s="22"/>
    </row>
    <row r="575">
      <c r="E575" s="22"/>
      <c r="H575" s="22"/>
      <c r="K575" s="22"/>
      <c r="N575" s="22"/>
    </row>
    <row r="576">
      <c r="E576" s="22"/>
      <c r="H576" s="22"/>
      <c r="K576" s="22"/>
      <c r="N576" s="22"/>
    </row>
    <row r="577">
      <c r="E577" s="22"/>
      <c r="H577" s="22"/>
      <c r="K577" s="22"/>
      <c r="N577" s="22"/>
    </row>
    <row r="578">
      <c r="E578" s="22"/>
      <c r="H578" s="22"/>
      <c r="K578" s="22"/>
      <c r="N578" s="22"/>
    </row>
    <row r="579">
      <c r="E579" s="22"/>
      <c r="H579" s="22"/>
      <c r="K579" s="22"/>
      <c r="N579" s="22"/>
    </row>
    <row r="580">
      <c r="E580" s="22"/>
      <c r="H580" s="22"/>
      <c r="K580" s="22"/>
      <c r="N580" s="22"/>
    </row>
    <row r="581">
      <c r="E581" s="22"/>
      <c r="H581" s="22"/>
      <c r="K581" s="22"/>
      <c r="N581" s="22"/>
    </row>
    <row r="582">
      <c r="E582" s="22"/>
      <c r="H582" s="22"/>
      <c r="K582" s="22"/>
      <c r="N582" s="22"/>
    </row>
    <row r="583">
      <c r="E583" s="22"/>
      <c r="H583" s="22"/>
      <c r="K583" s="22"/>
      <c r="N583" s="22"/>
    </row>
    <row r="584">
      <c r="E584" s="22"/>
      <c r="H584" s="22"/>
      <c r="K584" s="22"/>
      <c r="N584" s="22"/>
    </row>
    <row r="585">
      <c r="E585" s="22"/>
      <c r="H585" s="22"/>
      <c r="K585" s="22"/>
      <c r="N585" s="22"/>
    </row>
    <row r="586">
      <c r="E586" s="22"/>
      <c r="H586" s="22"/>
      <c r="K586" s="22"/>
      <c r="N586" s="22"/>
    </row>
    <row r="587">
      <c r="E587" s="22"/>
      <c r="H587" s="22"/>
      <c r="K587" s="22"/>
      <c r="N587" s="22"/>
    </row>
    <row r="588">
      <c r="E588" s="22"/>
      <c r="H588" s="22"/>
      <c r="K588" s="22"/>
      <c r="N588" s="22"/>
    </row>
    <row r="589">
      <c r="E589" s="22"/>
      <c r="H589" s="22"/>
      <c r="K589" s="22"/>
      <c r="N589" s="22"/>
    </row>
    <row r="590">
      <c r="E590" s="22"/>
      <c r="H590" s="22"/>
      <c r="K590" s="22"/>
      <c r="N590" s="22"/>
    </row>
    <row r="591">
      <c r="E591" s="22"/>
      <c r="H591" s="22"/>
      <c r="K591" s="22"/>
      <c r="N591" s="22"/>
    </row>
    <row r="592">
      <c r="E592" s="22"/>
      <c r="H592" s="22"/>
      <c r="K592" s="22"/>
      <c r="N592" s="22"/>
    </row>
    <row r="593">
      <c r="E593" s="22"/>
      <c r="H593" s="22"/>
      <c r="K593" s="22"/>
      <c r="N593" s="22"/>
    </row>
    <row r="594">
      <c r="E594" s="22"/>
      <c r="H594" s="22"/>
      <c r="K594" s="22"/>
      <c r="N594" s="22"/>
    </row>
    <row r="595">
      <c r="E595" s="22"/>
      <c r="H595" s="22"/>
      <c r="K595" s="22"/>
      <c r="N595" s="22"/>
    </row>
    <row r="596">
      <c r="E596" s="22"/>
      <c r="H596" s="22"/>
      <c r="K596" s="22"/>
      <c r="N596" s="22"/>
    </row>
    <row r="597">
      <c r="E597" s="22"/>
      <c r="H597" s="22"/>
      <c r="K597" s="22"/>
      <c r="N597" s="22"/>
    </row>
    <row r="598">
      <c r="E598" s="22"/>
      <c r="H598" s="22"/>
      <c r="K598" s="22"/>
      <c r="N598" s="22"/>
    </row>
    <row r="599">
      <c r="E599" s="22"/>
      <c r="H599" s="22"/>
      <c r="K599" s="22"/>
      <c r="N599" s="22"/>
    </row>
    <row r="600">
      <c r="E600" s="22"/>
      <c r="H600" s="22"/>
      <c r="K600" s="22"/>
      <c r="N600" s="22"/>
    </row>
    <row r="601">
      <c r="E601" s="22"/>
      <c r="H601" s="22"/>
      <c r="K601" s="22"/>
      <c r="N601" s="22"/>
    </row>
    <row r="602">
      <c r="E602" s="22"/>
      <c r="H602" s="22"/>
      <c r="K602" s="22"/>
      <c r="N602" s="22"/>
    </row>
    <row r="603">
      <c r="E603" s="22"/>
      <c r="H603" s="22"/>
      <c r="K603" s="22"/>
      <c r="N603" s="22"/>
    </row>
    <row r="604">
      <c r="E604" s="22"/>
      <c r="H604" s="22"/>
      <c r="K604" s="22"/>
      <c r="N604" s="22"/>
    </row>
    <row r="605">
      <c r="E605" s="22"/>
      <c r="H605" s="22"/>
      <c r="K605" s="22"/>
      <c r="N605" s="22"/>
    </row>
    <row r="606">
      <c r="E606" s="22"/>
      <c r="H606" s="22"/>
      <c r="K606" s="22"/>
      <c r="N606" s="22"/>
    </row>
    <row r="607">
      <c r="E607" s="22"/>
      <c r="H607" s="22"/>
      <c r="K607" s="22"/>
      <c r="N607" s="22"/>
    </row>
    <row r="608">
      <c r="E608" s="22"/>
      <c r="H608" s="22"/>
      <c r="K608" s="22"/>
      <c r="N608" s="22"/>
    </row>
    <row r="609">
      <c r="E609" s="22"/>
      <c r="H609" s="22"/>
      <c r="K609" s="22"/>
      <c r="N609" s="22"/>
    </row>
    <row r="610">
      <c r="E610" s="22"/>
      <c r="H610" s="22"/>
      <c r="K610" s="22"/>
      <c r="N610" s="22"/>
    </row>
    <row r="611">
      <c r="E611" s="22"/>
      <c r="H611" s="22"/>
      <c r="K611" s="22"/>
      <c r="N611" s="22"/>
    </row>
    <row r="612">
      <c r="E612" s="22"/>
      <c r="H612" s="22"/>
      <c r="K612" s="22"/>
      <c r="N612" s="22"/>
    </row>
    <row r="613">
      <c r="E613" s="22"/>
      <c r="H613" s="22"/>
      <c r="K613" s="22"/>
      <c r="N613" s="22"/>
    </row>
    <row r="614">
      <c r="E614" s="22"/>
      <c r="H614" s="22"/>
      <c r="K614" s="22"/>
      <c r="N614" s="22"/>
    </row>
    <row r="615">
      <c r="E615" s="22"/>
      <c r="H615" s="22"/>
      <c r="K615" s="22"/>
      <c r="N615" s="22"/>
    </row>
    <row r="616">
      <c r="E616" s="22"/>
      <c r="H616" s="22"/>
      <c r="K616" s="22"/>
      <c r="N616" s="22"/>
    </row>
    <row r="617">
      <c r="E617" s="22"/>
      <c r="H617" s="22"/>
      <c r="K617" s="22"/>
      <c r="N617" s="22"/>
    </row>
    <row r="618">
      <c r="E618" s="22"/>
      <c r="H618" s="22"/>
      <c r="K618" s="22"/>
      <c r="N618" s="22"/>
    </row>
    <row r="619">
      <c r="E619" s="22"/>
      <c r="H619" s="22"/>
      <c r="K619" s="22"/>
      <c r="N619" s="22"/>
    </row>
    <row r="620">
      <c r="E620" s="22"/>
      <c r="H620" s="22"/>
      <c r="K620" s="22"/>
      <c r="N620" s="22"/>
    </row>
    <row r="621">
      <c r="E621" s="22"/>
      <c r="H621" s="22"/>
      <c r="K621" s="22"/>
      <c r="N621" s="22"/>
    </row>
    <row r="622">
      <c r="E622" s="22"/>
      <c r="H622" s="22"/>
      <c r="K622" s="22"/>
      <c r="N622" s="22"/>
    </row>
    <row r="623">
      <c r="E623" s="22"/>
      <c r="H623" s="22"/>
      <c r="K623" s="22"/>
      <c r="N623" s="22"/>
    </row>
    <row r="624">
      <c r="E624" s="22"/>
      <c r="H624" s="22"/>
      <c r="K624" s="22"/>
      <c r="N624" s="22"/>
    </row>
    <row r="625">
      <c r="E625" s="22"/>
      <c r="H625" s="22"/>
      <c r="K625" s="22"/>
      <c r="N625" s="22"/>
    </row>
    <row r="626">
      <c r="E626" s="22"/>
      <c r="H626" s="22"/>
      <c r="K626" s="22"/>
      <c r="N626" s="22"/>
    </row>
    <row r="627">
      <c r="E627" s="22"/>
      <c r="H627" s="22"/>
      <c r="K627" s="22"/>
      <c r="N627" s="22"/>
    </row>
    <row r="628">
      <c r="E628" s="22"/>
      <c r="H628" s="22"/>
      <c r="K628" s="22"/>
      <c r="N628" s="22"/>
    </row>
    <row r="629">
      <c r="E629" s="22"/>
      <c r="H629" s="22"/>
      <c r="K629" s="22"/>
      <c r="N629" s="22"/>
    </row>
    <row r="630">
      <c r="E630" s="22"/>
      <c r="H630" s="22"/>
      <c r="K630" s="22"/>
      <c r="N630" s="22"/>
    </row>
    <row r="631">
      <c r="E631" s="22"/>
      <c r="H631" s="22"/>
      <c r="K631" s="22"/>
      <c r="N631" s="22"/>
    </row>
    <row r="632">
      <c r="E632" s="22"/>
      <c r="H632" s="22"/>
      <c r="K632" s="22"/>
      <c r="N632" s="22"/>
    </row>
    <row r="633">
      <c r="E633" s="22"/>
      <c r="H633" s="22"/>
      <c r="K633" s="22"/>
      <c r="N633" s="22"/>
    </row>
    <row r="634">
      <c r="E634" s="22"/>
      <c r="H634" s="22"/>
      <c r="K634" s="22"/>
      <c r="N634" s="22"/>
    </row>
    <row r="635">
      <c r="E635" s="22"/>
      <c r="H635" s="22"/>
      <c r="K635" s="22"/>
      <c r="N635" s="22"/>
    </row>
    <row r="636">
      <c r="E636" s="22"/>
      <c r="H636" s="22"/>
      <c r="K636" s="22"/>
      <c r="N636" s="22"/>
    </row>
    <row r="637">
      <c r="E637" s="22"/>
      <c r="H637" s="22"/>
      <c r="K637" s="22"/>
      <c r="N637" s="22"/>
    </row>
    <row r="638">
      <c r="E638" s="22"/>
      <c r="H638" s="22"/>
      <c r="K638" s="22"/>
      <c r="N638" s="22"/>
    </row>
    <row r="639">
      <c r="E639" s="22"/>
      <c r="H639" s="22"/>
      <c r="K639" s="22"/>
      <c r="N639" s="22"/>
    </row>
    <row r="640">
      <c r="E640" s="22"/>
      <c r="H640" s="22"/>
      <c r="K640" s="22"/>
      <c r="N640" s="22"/>
    </row>
    <row r="641">
      <c r="E641" s="22"/>
      <c r="H641" s="22"/>
      <c r="K641" s="22"/>
      <c r="N641" s="22"/>
    </row>
    <row r="642">
      <c r="E642" s="22"/>
      <c r="H642" s="22"/>
      <c r="K642" s="22"/>
      <c r="N642" s="22"/>
    </row>
    <row r="643">
      <c r="E643" s="22"/>
      <c r="H643" s="22"/>
      <c r="K643" s="22"/>
      <c r="N643" s="22"/>
    </row>
    <row r="644">
      <c r="E644" s="22"/>
      <c r="H644" s="22"/>
      <c r="K644" s="22"/>
      <c r="N644" s="22"/>
    </row>
    <row r="645">
      <c r="E645" s="22"/>
      <c r="H645" s="22"/>
      <c r="K645" s="22"/>
      <c r="N645" s="22"/>
    </row>
    <row r="646">
      <c r="E646" s="22"/>
      <c r="H646" s="22"/>
      <c r="K646" s="22"/>
      <c r="N646" s="22"/>
    </row>
    <row r="647">
      <c r="E647" s="22"/>
      <c r="H647" s="22"/>
      <c r="K647" s="22"/>
      <c r="N647" s="22"/>
    </row>
    <row r="648">
      <c r="E648" s="22"/>
      <c r="H648" s="22"/>
      <c r="K648" s="22"/>
      <c r="N648" s="22"/>
    </row>
    <row r="649">
      <c r="E649" s="22"/>
      <c r="H649" s="22"/>
      <c r="K649" s="22"/>
      <c r="N649" s="22"/>
    </row>
    <row r="650">
      <c r="E650" s="22"/>
      <c r="H650" s="22"/>
      <c r="K650" s="22"/>
      <c r="N650" s="22"/>
    </row>
    <row r="651">
      <c r="E651" s="22"/>
      <c r="H651" s="22"/>
      <c r="K651" s="22"/>
      <c r="N651" s="22"/>
    </row>
    <row r="652">
      <c r="E652" s="22"/>
      <c r="H652" s="22"/>
      <c r="K652" s="22"/>
      <c r="N652" s="22"/>
    </row>
    <row r="653">
      <c r="E653" s="22"/>
      <c r="H653" s="22"/>
      <c r="K653" s="22"/>
      <c r="N653" s="22"/>
    </row>
    <row r="654">
      <c r="E654" s="22"/>
      <c r="H654" s="22"/>
      <c r="K654" s="22"/>
      <c r="N654" s="22"/>
    </row>
    <row r="655">
      <c r="E655" s="22"/>
      <c r="H655" s="22"/>
      <c r="K655" s="22"/>
      <c r="N655" s="22"/>
    </row>
    <row r="656">
      <c r="E656" s="22"/>
      <c r="H656" s="22"/>
      <c r="K656" s="22"/>
      <c r="N656" s="22"/>
    </row>
    <row r="657">
      <c r="E657" s="22"/>
      <c r="H657" s="22"/>
      <c r="K657" s="22"/>
      <c r="N657" s="22"/>
    </row>
    <row r="658">
      <c r="E658" s="22"/>
      <c r="H658" s="22"/>
      <c r="K658" s="22"/>
      <c r="N658" s="22"/>
    </row>
    <row r="659">
      <c r="E659" s="22"/>
      <c r="H659" s="22"/>
      <c r="K659" s="22"/>
      <c r="N659" s="22"/>
    </row>
    <row r="660">
      <c r="E660" s="22"/>
      <c r="H660" s="22"/>
      <c r="K660" s="22"/>
      <c r="N660" s="22"/>
    </row>
    <row r="661">
      <c r="E661" s="22"/>
      <c r="H661" s="22"/>
      <c r="K661" s="22"/>
      <c r="N661" s="22"/>
    </row>
    <row r="662">
      <c r="E662" s="22"/>
      <c r="H662" s="22"/>
      <c r="K662" s="22"/>
      <c r="N662" s="22"/>
    </row>
    <row r="663">
      <c r="E663" s="22"/>
      <c r="H663" s="22"/>
      <c r="K663" s="22"/>
      <c r="N663" s="22"/>
    </row>
    <row r="664">
      <c r="E664" s="22"/>
      <c r="H664" s="22"/>
      <c r="K664" s="22"/>
      <c r="N664" s="22"/>
    </row>
    <row r="665">
      <c r="E665" s="22"/>
      <c r="H665" s="22"/>
      <c r="K665" s="22"/>
      <c r="N665" s="22"/>
    </row>
    <row r="666">
      <c r="E666" s="22"/>
      <c r="H666" s="22"/>
      <c r="K666" s="22"/>
      <c r="N666" s="22"/>
    </row>
    <row r="667">
      <c r="E667" s="22"/>
      <c r="H667" s="22"/>
      <c r="K667" s="22"/>
      <c r="N667" s="22"/>
    </row>
    <row r="668">
      <c r="E668" s="22"/>
      <c r="H668" s="22"/>
      <c r="K668" s="22"/>
      <c r="N668" s="22"/>
    </row>
    <row r="669">
      <c r="E669" s="22"/>
      <c r="H669" s="22"/>
      <c r="K669" s="22"/>
      <c r="N669" s="22"/>
    </row>
    <row r="670">
      <c r="E670" s="22"/>
      <c r="H670" s="22"/>
      <c r="K670" s="22"/>
      <c r="N670" s="22"/>
    </row>
    <row r="671">
      <c r="E671" s="22"/>
      <c r="H671" s="22"/>
      <c r="K671" s="22"/>
      <c r="N671" s="22"/>
    </row>
    <row r="672">
      <c r="E672" s="22"/>
      <c r="H672" s="22"/>
      <c r="K672" s="22"/>
      <c r="N672" s="22"/>
    </row>
    <row r="673">
      <c r="E673" s="22"/>
      <c r="H673" s="22"/>
      <c r="K673" s="22"/>
      <c r="N673" s="22"/>
    </row>
    <row r="674">
      <c r="E674" s="22"/>
      <c r="H674" s="22"/>
      <c r="K674" s="22"/>
      <c r="N674" s="22"/>
    </row>
    <row r="675">
      <c r="E675" s="22"/>
      <c r="H675" s="22"/>
      <c r="K675" s="22"/>
      <c r="N675" s="22"/>
    </row>
    <row r="676">
      <c r="E676" s="22"/>
      <c r="H676" s="22"/>
      <c r="K676" s="22"/>
      <c r="N676" s="22"/>
    </row>
    <row r="677">
      <c r="E677" s="22"/>
      <c r="H677" s="22"/>
      <c r="K677" s="22"/>
      <c r="N677" s="22"/>
    </row>
    <row r="678">
      <c r="E678" s="22"/>
      <c r="H678" s="22"/>
      <c r="K678" s="22"/>
      <c r="N678" s="22"/>
    </row>
    <row r="679">
      <c r="E679" s="22"/>
      <c r="H679" s="22"/>
      <c r="K679" s="22"/>
      <c r="N679" s="22"/>
    </row>
    <row r="680">
      <c r="E680" s="22"/>
      <c r="H680" s="22"/>
      <c r="K680" s="22"/>
      <c r="N680" s="22"/>
    </row>
    <row r="681">
      <c r="E681" s="22"/>
      <c r="H681" s="22"/>
      <c r="K681" s="22"/>
      <c r="N681" s="22"/>
    </row>
    <row r="682">
      <c r="E682" s="22"/>
      <c r="H682" s="22"/>
      <c r="K682" s="22"/>
      <c r="N682" s="22"/>
    </row>
    <row r="683">
      <c r="E683" s="22"/>
      <c r="H683" s="22"/>
      <c r="K683" s="22"/>
      <c r="N683" s="22"/>
    </row>
    <row r="684">
      <c r="E684" s="22"/>
      <c r="H684" s="22"/>
      <c r="K684" s="22"/>
      <c r="N684" s="22"/>
    </row>
    <row r="685">
      <c r="E685" s="22"/>
      <c r="H685" s="22"/>
      <c r="K685" s="22"/>
      <c r="N685" s="22"/>
    </row>
    <row r="686">
      <c r="E686" s="22"/>
      <c r="H686" s="22"/>
      <c r="K686" s="22"/>
      <c r="N686" s="22"/>
    </row>
    <row r="687">
      <c r="E687" s="22"/>
      <c r="H687" s="22"/>
      <c r="K687" s="22"/>
      <c r="N687" s="22"/>
    </row>
    <row r="688">
      <c r="E688" s="22"/>
      <c r="H688" s="22"/>
      <c r="K688" s="22"/>
      <c r="N688" s="22"/>
    </row>
    <row r="689">
      <c r="E689" s="22"/>
      <c r="H689" s="22"/>
      <c r="K689" s="22"/>
      <c r="N689" s="22"/>
    </row>
    <row r="690">
      <c r="E690" s="22"/>
      <c r="H690" s="22"/>
      <c r="K690" s="22"/>
      <c r="N690" s="22"/>
    </row>
    <row r="691">
      <c r="E691" s="22"/>
      <c r="H691" s="22"/>
      <c r="K691" s="22"/>
      <c r="N691" s="22"/>
    </row>
    <row r="692">
      <c r="E692" s="22"/>
      <c r="H692" s="22"/>
      <c r="K692" s="22"/>
      <c r="N692" s="22"/>
    </row>
    <row r="693">
      <c r="E693" s="22"/>
      <c r="H693" s="22"/>
      <c r="K693" s="22"/>
      <c r="N693" s="22"/>
    </row>
    <row r="694">
      <c r="E694" s="22"/>
      <c r="H694" s="22"/>
      <c r="K694" s="22"/>
      <c r="N694" s="22"/>
    </row>
    <row r="695">
      <c r="E695" s="22"/>
      <c r="H695" s="22"/>
      <c r="K695" s="22"/>
      <c r="N695" s="22"/>
    </row>
    <row r="696">
      <c r="E696" s="22"/>
      <c r="H696" s="22"/>
      <c r="K696" s="22"/>
      <c r="N696" s="22"/>
    </row>
    <row r="697">
      <c r="E697" s="22"/>
      <c r="H697" s="22"/>
      <c r="K697" s="22"/>
      <c r="N697" s="22"/>
    </row>
    <row r="698">
      <c r="E698" s="22"/>
      <c r="H698" s="22"/>
      <c r="K698" s="22"/>
      <c r="N698" s="22"/>
    </row>
    <row r="699">
      <c r="E699" s="22"/>
      <c r="H699" s="22"/>
      <c r="K699" s="22"/>
      <c r="N699" s="22"/>
    </row>
    <row r="700">
      <c r="E700" s="22"/>
      <c r="H700" s="22"/>
      <c r="K700" s="22"/>
      <c r="N700" s="22"/>
    </row>
    <row r="701">
      <c r="E701" s="22"/>
      <c r="H701" s="22"/>
      <c r="K701" s="22"/>
      <c r="N701" s="22"/>
    </row>
    <row r="702">
      <c r="E702" s="22"/>
      <c r="H702" s="22"/>
      <c r="K702" s="22"/>
      <c r="N702" s="22"/>
    </row>
    <row r="703">
      <c r="E703" s="22"/>
      <c r="H703" s="22"/>
      <c r="K703" s="22"/>
      <c r="N703" s="22"/>
    </row>
    <row r="704">
      <c r="E704" s="22"/>
      <c r="H704" s="22"/>
      <c r="K704" s="22"/>
      <c r="N704" s="22"/>
    </row>
    <row r="705">
      <c r="E705" s="22"/>
      <c r="H705" s="22"/>
      <c r="K705" s="22"/>
      <c r="N705" s="22"/>
    </row>
    <row r="706">
      <c r="E706" s="22"/>
      <c r="H706" s="22"/>
      <c r="K706" s="22"/>
      <c r="N706" s="22"/>
    </row>
    <row r="707">
      <c r="E707" s="22"/>
      <c r="H707" s="22"/>
      <c r="K707" s="22"/>
      <c r="N707" s="22"/>
    </row>
    <row r="708">
      <c r="E708" s="22"/>
      <c r="H708" s="22"/>
      <c r="K708" s="22"/>
      <c r="N708" s="22"/>
    </row>
    <row r="709">
      <c r="E709" s="22"/>
      <c r="H709" s="22"/>
      <c r="K709" s="22"/>
      <c r="N709" s="22"/>
    </row>
    <row r="710">
      <c r="E710" s="22"/>
      <c r="H710" s="22"/>
      <c r="K710" s="22"/>
      <c r="N710" s="22"/>
    </row>
    <row r="711">
      <c r="E711" s="22"/>
      <c r="H711" s="22"/>
      <c r="K711" s="22"/>
      <c r="N711" s="22"/>
    </row>
    <row r="712">
      <c r="E712" s="22"/>
      <c r="H712" s="22"/>
      <c r="K712" s="22"/>
      <c r="N712" s="22"/>
    </row>
    <row r="713">
      <c r="E713" s="22"/>
      <c r="H713" s="22"/>
      <c r="K713" s="22"/>
      <c r="N713" s="22"/>
    </row>
    <row r="714">
      <c r="E714" s="22"/>
      <c r="H714" s="22"/>
      <c r="K714" s="22"/>
      <c r="N714" s="22"/>
    </row>
    <row r="715">
      <c r="E715" s="22"/>
      <c r="H715" s="22"/>
      <c r="K715" s="22"/>
      <c r="N715" s="22"/>
    </row>
    <row r="716">
      <c r="E716" s="22"/>
      <c r="H716" s="22"/>
      <c r="K716" s="22"/>
      <c r="N716" s="22"/>
    </row>
    <row r="717">
      <c r="E717" s="22"/>
      <c r="H717" s="22"/>
      <c r="K717" s="22"/>
      <c r="N717" s="22"/>
    </row>
    <row r="718">
      <c r="E718" s="22"/>
      <c r="H718" s="22"/>
      <c r="K718" s="22"/>
      <c r="N718" s="22"/>
    </row>
    <row r="719">
      <c r="E719" s="22"/>
      <c r="H719" s="22"/>
      <c r="K719" s="22"/>
      <c r="N719" s="22"/>
    </row>
    <row r="720">
      <c r="E720" s="22"/>
      <c r="H720" s="22"/>
      <c r="K720" s="22"/>
      <c r="N720" s="22"/>
    </row>
    <row r="721">
      <c r="E721" s="22"/>
      <c r="H721" s="22"/>
      <c r="K721" s="22"/>
      <c r="N721" s="22"/>
    </row>
    <row r="722">
      <c r="E722" s="22"/>
      <c r="H722" s="22"/>
      <c r="K722" s="22"/>
      <c r="N722" s="22"/>
    </row>
    <row r="723">
      <c r="E723" s="22"/>
      <c r="H723" s="22"/>
      <c r="K723" s="22"/>
      <c r="N723" s="22"/>
    </row>
    <row r="724">
      <c r="E724" s="22"/>
      <c r="H724" s="22"/>
      <c r="K724" s="22"/>
      <c r="N724" s="22"/>
    </row>
    <row r="725">
      <c r="E725" s="22"/>
      <c r="H725" s="22"/>
      <c r="K725" s="22"/>
      <c r="N725" s="22"/>
    </row>
    <row r="726">
      <c r="E726" s="22"/>
      <c r="H726" s="22"/>
      <c r="K726" s="22"/>
      <c r="N726" s="22"/>
    </row>
    <row r="727">
      <c r="E727" s="22"/>
      <c r="H727" s="22"/>
      <c r="K727" s="22"/>
      <c r="N727" s="22"/>
    </row>
    <row r="728">
      <c r="E728" s="22"/>
      <c r="H728" s="22"/>
      <c r="K728" s="22"/>
      <c r="N728" s="22"/>
    </row>
    <row r="729">
      <c r="E729" s="22"/>
      <c r="H729" s="22"/>
      <c r="K729" s="22"/>
      <c r="N729" s="22"/>
    </row>
    <row r="730">
      <c r="E730" s="22"/>
      <c r="H730" s="22"/>
      <c r="K730" s="22"/>
      <c r="N730" s="22"/>
    </row>
    <row r="731">
      <c r="E731" s="22"/>
      <c r="H731" s="22"/>
      <c r="K731" s="22"/>
      <c r="N731" s="22"/>
    </row>
    <row r="732">
      <c r="E732" s="22"/>
      <c r="H732" s="22"/>
      <c r="K732" s="22"/>
      <c r="N732" s="22"/>
    </row>
    <row r="733">
      <c r="E733" s="22"/>
      <c r="H733" s="22"/>
      <c r="K733" s="22"/>
      <c r="N733" s="22"/>
    </row>
    <row r="734">
      <c r="E734" s="22"/>
      <c r="H734" s="22"/>
      <c r="K734" s="22"/>
      <c r="N734" s="22"/>
    </row>
    <row r="735">
      <c r="E735" s="22"/>
      <c r="H735" s="22"/>
      <c r="K735" s="22"/>
      <c r="N735" s="22"/>
    </row>
    <row r="736">
      <c r="E736" s="22"/>
      <c r="H736" s="22"/>
      <c r="K736" s="22"/>
      <c r="N736" s="22"/>
    </row>
    <row r="737">
      <c r="E737" s="22"/>
      <c r="H737" s="22"/>
      <c r="K737" s="22"/>
      <c r="N737" s="22"/>
    </row>
    <row r="738">
      <c r="E738" s="22"/>
      <c r="H738" s="22"/>
      <c r="K738" s="22"/>
      <c r="N738" s="22"/>
    </row>
    <row r="739">
      <c r="E739" s="22"/>
      <c r="H739" s="22"/>
      <c r="K739" s="22"/>
      <c r="N739" s="22"/>
    </row>
    <row r="740">
      <c r="E740" s="22"/>
      <c r="H740" s="22"/>
      <c r="K740" s="22"/>
      <c r="N740" s="22"/>
    </row>
    <row r="741">
      <c r="E741" s="22"/>
      <c r="H741" s="22"/>
      <c r="K741" s="22"/>
      <c r="N741" s="22"/>
    </row>
    <row r="742">
      <c r="E742" s="22"/>
      <c r="H742" s="22"/>
      <c r="K742" s="22"/>
      <c r="N742" s="22"/>
    </row>
    <row r="743">
      <c r="E743" s="22"/>
      <c r="H743" s="22"/>
      <c r="K743" s="22"/>
      <c r="N743" s="22"/>
    </row>
    <row r="744">
      <c r="E744" s="22"/>
      <c r="H744" s="22"/>
      <c r="K744" s="22"/>
      <c r="N744" s="22"/>
    </row>
    <row r="745">
      <c r="E745" s="22"/>
      <c r="H745" s="22"/>
      <c r="K745" s="22"/>
      <c r="N745" s="22"/>
    </row>
    <row r="746">
      <c r="E746" s="22"/>
      <c r="H746" s="22"/>
      <c r="K746" s="22"/>
      <c r="N746" s="22"/>
    </row>
    <row r="747">
      <c r="E747" s="22"/>
      <c r="H747" s="22"/>
      <c r="K747" s="22"/>
      <c r="N747" s="22"/>
    </row>
    <row r="748">
      <c r="E748" s="22"/>
      <c r="H748" s="22"/>
      <c r="K748" s="22"/>
      <c r="N748" s="22"/>
    </row>
    <row r="749">
      <c r="E749" s="22"/>
      <c r="H749" s="22"/>
      <c r="K749" s="22"/>
      <c r="N749" s="22"/>
    </row>
    <row r="750">
      <c r="E750" s="22"/>
      <c r="H750" s="22"/>
      <c r="K750" s="22"/>
      <c r="N750" s="22"/>
    </row>
    <row r="751">
      <c r="E751" s="22"/>
      <c r="H751" s="22"/>
      <c r="K751" s="22"/>
      <c r="N751" s="22"/>
    </row>
    <row r="752">
      <c r="E752" s="22"/>
      <c r="H752" s="22"/>
      <c r="K752" s="22"/>
      <c r="N752" s="22"/>
    </row>
    <row r="753">
      <c r="E753" s="22"/>
      <c r="H753" s="22"/>
      <c r="K753" s="22"/>
      <c r="N753" s="22"/>
    </row>
    <row r="754">
      <c r="E754" s="22"/>
      <c r="H754" s="22"/>
      <c r="K754" s="22"/>
      <c r="N754" s="22"/>
    </row>
    <row r="755">
      <c r="E755" s="22"/>
      <c r="H755" s="22"/>
      <c r="K755" s="22"/>
      <c r="N755" s="22"/>
    </row>
    <row r="756">
      <c r="E756" s="22"/>
      <c r="H756" s="22"/>
      <c r="K756" s="22"/>
      <c r="N756" s="22"/>
    </row>
    <row r="757">
      <c r="E757" s="22"/>
      <c r="H757" s="22"/>
      <c r="K757" s="22"/>
      <c r="N757" s="22"/>
    </row>
    <row r="758">
      <c r="E758" s="22"/>
      <c r="H758" s="22"/>
      <c r="K758" s="22"/>
      <c r="N758" s="22"/>
    </row>
    <row r="759">
      <c r="E759" s="22"/>
      <c r="H759" s="22"/>
      <c r="K759" s="22"/>
      <c r="N759" s="22"/>
    </row>
    <row r="760">
      <c r="E760" s="22"/>
      <c r="H760" s="22"/>
      <c r="K760" s="22"/>
      <c r="N760" s="22"/>
    </row>
    <row r="761">
      <c r="E761" s="22"/>
      <c r="H761" s="22"/>
      <c r="K761" s="22"/>
      <c r="N761" s="22"/>
    </row>
    <row r="762">
      <c r="E762" s="22"/>
      <c r="H762" s="22"/>
      <c r="K762" s="22"/>
      <c r="N762" s="22"/>
    </row>
    <row r="763">
      <c r="E763" s="22"/>
      <c r="H763" s="22"/>
      <c r="K763" s="22"/>
      <c r="N763" s="22"/>
    </row>
    <row r="764">
      <c r="E764" s="22"/>
      <c r="H764" s="22"/>
      <c r="K764" s="22"/>
      <c r="N764" s="22"/>
    </row>
    <row r="765">
      <c r="E765" s="22"/>
      <c r="H765" s="22"/>
      <c r="K765" s="22"/>
      <c r="N765" s="22"/>
    </row>
    <row r="766">
      <c r="E766" s="22"/>
      <c r="H766" s="22"/>
      <c r="K766" s="22"/>
      <c r="N766" s="22"/>
    </row>
    <row r="767">
      <c r="E767" s="22"/>
      <c r="H767" s="22"/>
      <c r="K767" s="22"/>
      <c r="N767" s="22"/>
    </row>
    <row r="768">
      <c r="E768" s="22"/>
      <c r="H768" s="22"/>
      <c r="K768" s="22"/>
      <c r="N768" s="22"/>
    </row>
    <row r="769">
      <c r="E769" s="22"/>
      <c r="H769" s="22"/>
      <c r="K769" s="22"/>
      <c r="N769" s="22"/>
    </row>
    <row r="770">
      <c r="E770" s="22"/>
      <c r="H770" s="22"/>
      <c r="K770" s="22"/>
      <c r="N770" s="22"/>
    </row>
    <row r="771">
      <c r="E771" s="22"/>
      <c r="H771" s="22"/>
      <c r="K771" s="22"/>
      <c r="N771" s="22"/>
    </row>
    <row r="772">
      <c r="E772" s="22"/>
      <c r="H772" s="22"/>
      <c r="K772" s="22"/>
      <c r="N772" s="22"/>
    </row>
    <row r="773">
      <c r="E773" s="22"/>
      <c r="H773" s="22"/>
      <c r="K773" s="22"/>
      <c r="N773" s="22"/>
    </row>
    <row r="774">
      <c r="E774" s="22"/>
      <c r="H774" s="22"/>
      <c r="K774" s="22"/>
      <c r="N774" s="22"/>
    </row>
    <row r="775">
      <c r="E775" s="22"/>
      <c r="H775" s="22"/>
      <c r="K775" s="22"/>
      <c r="N775" s="22"/>
    </row>
    <row r="776">
      <c r="E776" s="22"/>
      <c r="H776" s="22"/>
      <c r="K776" s="22"/>
      <c r="N776" s="22"/>
    </row>
    <row r="777">
      <c r="E777" s="22"/>
      <c r="H777" s="22"/>
      <c r="K777" s="22"/>
      <c r="N777" s="22"/>
    </row>
    <row r="778">
      <c r="E778" s="22"/>
      <c r="H778" s="22"/>
      <c r="K778" s="22"/>
      <c r="N778" s="22"/>
    </row>
    <row r="779">
      <c r="E779" s="22"/>
      <c r="H779" s="22"/>
      <c r="K779" s="22"/>
      <c r="N779" s="22"/>
    </row>
    <row r="780">
      <c r="E780" s="22"/>
      <c r="H780" s="22"/>
      <c r="K780" s="22"/>
      <c r="N780" s="22"/>
    </row>
    <row r="781">
      <c r="E781" s="22"/>
      <c r="H781" s="22"/>
      <c r="K781" s="22"/>
      <c r="N781" s="22"/>
    </row>
    <row r="782">
      <c r="E782" s="22"/>
      <c r="H782" s="22"/>
      <c r="K782" s="22"/>
      <c r="N782" s="22"/>
    </row>
    <row r="783">
      <c r="E783" s="22"/>
      <c r="H783" s="22"/>
      <c r="K783" s="22"/>
      <c r="N783" s="22"/>
    </row>
    <row r="784">
      <c r="E784" s="22"/>
      <c r="H784" s="22"/>
      <c r="K784" s="22"/>
      <c r="N784" s="22"/>
    </row>
    <row r="785">
      <c r="E785" s="22"/>
      <c r="H785" s="22"/>
      <c r="K785" s="22"/>
      <c r="N785" s="22"/>
    </row>
    <row r="786">
      <c r="E786" s="22"/>
      <c r="H786" s="22"/>
      <c r="K786" s="22"/>
      <c r="N786" s="22"/>
    </row>
    <row r="787">
      <c r="E787" s="22"/>
      <c r="H787" s="22"/>
      <c r="K787" s="22"/>
      <c r="N787" s="22"/>
    </row>
    <row r="788">
      <c r="E788" s="22"/>
      <c r="H788" s="22"/>
      <c r="K788" s="22"/>
      <c r="N788" s="22"/>
    </row>
    <row r="789">
      <c r="E789" s="22"/>
      <c r="H789" s="22"/>
      <c r="K789" s="22"/>
      <c r="N789" s="22"/>
    </row>
    <row r="790">
      <c r="E790" s="22"/>
      <c r="H790" s="22"/>
      <c r="K790" s="22"/>
      <c r="N790" s="22"/>
    </row>
    <row r="791">
      <c r="E791" s="22"/>
      <c r="H791" s="22"/>
      <c r="K791" s="22"/>
      <c r="N791" s="22"/>
    </row>
    <row r="792">
      <c r="E792" s="22"/>
      <c r="H792" s="22"/>
      <c r="K792" s="22"/>
      <c r="N792" s="22"/>
    </row>
    <row r="793">
      <c r="E793" s="22"/>
      <c r="H793" s="22"/>
      <c r="K793" s="22"/>
      <c r="N793" s="22"/>
    </row>
    <row r="794">
      <c r="E794" s="22"/>
      <c r="H794" s="22"/>
      <c r="K794" s="22"/>
      <c r="N794" s="22"/>
    </row>
    <row r="795">
      <c r="E795" s="22"/>
      <c r="H795" s="22"/>
      <c r="K795" s="22"/>
      <c r="N795" s="22"/>
    </row>
    <row r="796">
      <c r="E796" s="22"/>
      <c r="H796" s="22"/>
      <c r="K796" s="22"/>
      <c r="N796" s="22"/>
    </row>
    <row r="797">
      <c r="E797" s="22"/>
      <c r="H797" s="22"/>
      <c r="K797" s="22"/>
      <c r="N797" s="22"/>
    </row>
    <row r="798">
      <c r="E798" s="22"/>
      <c r="H798" s="22"/>
      <c r="K798" s="22"/>
      <c r="N798" s="22"/>
    </row>
    <row r="799">
      <c r="E799" s="22"/>
      <c r="H799" s="22"/>
      <c r="K799" s="22"/>
      <c r="N799" s="22"/>
    </row>
    <row r="800">
      <c r="E800" s="22"/>
      <c r="H800" s="22"/>
      <c r="K800" s="22"/>
      <c r="N800" s="22"/>
    </row>
    <row r="801">
      <c r="E801" s="22"/>
      <c r="H801" s="22"/>
      <c r="K801" s="22"/>
      <c r="N801" s="22"/>
    </row>
    <row r="802">
      <c r="E802" s="22"/>
      <c r="H802" s="22"/>
      <c r="K802" s="22"/>
      <c r="N802" s="22"/>
    </row>
    <row r="803">
      <c r="E803" s="22"/>
      <c r="H803" s="22"/>
      <c r="K803" s="22"/>
      <c r="N803" s="22"/>
    </row>
    <row r="804">
      <c r="E804" s="22"/>
      <c r="H804" s="22"/>
      <c r="K804" s="22"/>
      <c r="N804" s="22"/>
    </row>
    <row r="805">
      <c r="E805" s="22"/>
      <c r="H805" s="22"/>
      <c r="K805" s="22"/>
      <c r="N805" s="22"/>
    </row>
    <row r="806">
      <c r="E806" s="22"/>
      <c r="H806" s="22"/>
      <c r="K806" s="22"/>
      <c r="N806" s="22"/>
    </row>
    <row r="807">
      <c r="E807" s="22"/>
      <c r="H807" s="22"/>
      <c r="K807" s="22"/>
      <c r="N807" s="22"/>
    </row>
    <row r="808">
      <c r="E808" s="22"/>
      <c r="H808" s="22"/>
      <c r="K808" s="22"/>
      <c r="N808" s="22"/>
    </row>
    <row r="809">
      <c r="E809" s="22"/>
      <c r="H809" s="22"/>
      <c r="K809" s="22"/>
      <c r="N809" s="22"/>
    </row>
    <row r="810">
      <c r="E810" s="22"/>
      <c r="H810" s="22"/>
      <c r="K810" s="22"/>
      <c r="N810" s="22"/>
    </row>
    <row r="811">
      <c r="E811" s="22"/>
      <c r="H811" s="22"/>
      <c r="K811" s="22"/>
      <c r="N811" s="22"/>
    </row>
    <row r="812">
      <c r="E812" s="22"/>
      <c r="H812" s="22"/>
      <c r="K812" s="22"/>
      <c r="N812" s="22"/>
    </row>
    <row r="813">
      <c r="E813" s="22"/>
      <c r="H813" s="22"/>
      <c r="K813" s="22"/>
      <c r="N813" s="22"/>
    </row>
    <row r="814">
      <c r="E814" s="22"/>
      <c r="H814" s="22"/>
      <c r="K814" s="22"/>
      <c r="N814" s="22"/>
    </row>
    <row r="815">
      <c r="E815" s="22"/>
      <c r="H815" s="22"/>
      <c r="K815" s="22"/>
      <c r="N815" s="22"/>
    </row>
    <row r="816">
      <c r="E816" s="22"/>
      <c r="H816" s="22"/>
      <c r="K816" s="22"/>
      <c r="N816" s="22"/>
    </row>
    <row r="817">
      <c r="E817" s="22"/>
      <c r="H817" s="22"/>
      <c r="K817" s="22"/>
      <c r="N817" s="22"/>
    </row>
    <row r="818">
      <c r="E818" s="22"/>
      <c r="H818" s="22"/>
      <c r="K818" s="22"/>
      <c r="N818" s="22"/>
    </row>
    <row r="819">
      <c r="E819" s="22"/>
      <c r="H819" s="22"/>
      <c r="K819" s="22"/>
      <c r="N819" s="22"/>
    </row>
    <row r="820">
      <c r="E820" s="22"/>
      <c r="H820" s="22"/>
      <c r="K820" s="22"/>
      <c r="N820" s="22"/>
    </row>
    <row r="821">
      <c r="E821" s="22"/>
      <c r="H821" s="22"/>
      <c r="K821" s="22"/>
      <c r="N821" s="22"/>
    </row>
    <row r="822">
      <c r="E822" s="22"/>
      <c r="H822" s="22"/>
      <c r="K822" s="22"/>
      <c r="N822" s="22"/>
    </row>
    <row r="823">
      <c r="E823" s="22"/>
      <c r="H823" s="22"/>
      <c r="K823" s="22"/>
      <c r="N823" s="22"/>
    </row>
    <row r="824">
      <c r="E824" s="22"/>
      <c r="H824" s="22"/>
      <c r="K824" s="22"/>
      <c r="N824" s="22"/>
    </row>
    <row r="825">
      <c r="E825" s="22"/>
      <c r="H825" s="22"/>
      <c r="K825" s="22"/>
      <c r="N825" s="22"/>
    </row>
    <row r="826">
      <c r="E826" s="22"/>
      <c r="H826" s="22"/>
      <c r="K826" s="22"/>
      <c r="N826" s="22"/>
    </row>
    <row r="827">
      <c r="E827" s="22"/>
      <c r="H827" s="22"/>
      <c r="K827" s="22"/>
      <c r="N827" s="22"/>
    </row>
    <row r="828">
      <c r="E828" s="22"/>
      <c r="H828" s="22"/>
      <c r="K828" s="22"/>
      <c r="N828" s="22"/>
    </row>
    <row r="829">
      <c r="E829" s="22"/>
      <c r="H829" s="22"/>
      <c r="K829" s="22"/>
      <c r="N829" s="22"/>
    </row>
    <row r="830">
      <c r="E830" s="22"/>
      <c r="H830" s="22"/>
      <c r="K830" s="22"/>
      <c r="N830" s="22"/>
    </row>
    <row r="831">
      <c r="E831" s="22"/>
      <c r="H831" s="22"/>
      <c r="K831" s="22"/>
      <c r="N831" s="22"/>
    </row>
    <row r="832">
      <c r="E832" s="22"/>
      <c r="H832" s="22"/>
      <c r="K832" s="22"/>
      <c r="N832" s="22"/>
    </row>
    <row r="833">
      <c r="E833" s="22"/>
      <c r="H833" s="22"/>
      <c r="K833" s="22"/>
      <c r="N833" s="22"/>
    </row>
    <row r="834">
      <c r="E834" s="22"/>
      <c r="H834" s="22"/>
      <c r="K834" s="22"/>
      <c r="N834" s="22"/>
    </row>
    <row r="835">
      <c r="E835" s="22"/>
      <c r="H835" s="22"/>
      <c r="K835" s="22"/>
      <c r="N835" s="22"/>
    </row>
    <row r="836">
      <c r="E836" s="22"/>
      <c r="H836" s="22"/>
      <c r="K836" s="22"/>
      <c r="N836" s="22"/>
    </row>
    <row r="837">
      <c r="E837" s="22"/>
      <c r="H837" s="22"/>
      <c r="K837" s="22"/>
      <c r="N837" s="22"/>
    </row>
    <row r="838">
      <c r="E838" s="22"/>
      <c r="H838" s="22"/>
      <c r="K838" s="22"/>
      <c r="N838" s="22"/>
    </row>
    <row r="839">
      <c r="E839" s="22"/>
      <c r="H839" s="22"/>
      <c r="K839" s="22"/>
      <c r="N839" s="22"/>
    </row>
    <row r="840">
      <c r="E840" s="22"/>
      <c r="H840" s="22"/>
      <c r="K840" s="22"/>
      <c r="N840" s="22"/>
    </row>
    <row r="841">
      <c r="E841" s="22"/>
      <c r="H841" s="22"/>
      <c r="K841" s="22"/>
      <c r="N841" s="22"/>
    </row>
    <row r="842">
      <c r="E842" s="22"/>
      <c r="H842" s="22"/>
      <c r="K842" s="22"/>
      <c r="N842" s="22"/>
    </row>
    <row r="843">
      <c r="E843" s="22"/>
      <c r="H843" s="22"/>
      <c r="K843" s="22"/>
      <c r="N843" s="22"/>
    </row>
    <row r="844">
      <c r="E844" s="22"/>
      <c r="H844" s="22"/>
      <c r="K844" s="22"/>
      <c r="N844" s="22"/>
    </row>
    <row r="845">
      <c r="E845" s="22"/>
      <c r="H845" s="22"/>
      <c r="K845" s="22"/>
      <c r="N845" s="22"/>
    </row>
    <row r="846">
      <c r="E846" s="22"/>
      <c r="H846" s="22"/>
      <c r="K846" s="22"/>
      <c r="N846" s="22"/>
    </row>
    <row r="847">
      <c r="E847" s="22"/>
      <c r="H847" s="22"/>
      <c r="K847" s="22"/>
      <c r="N847" s="22"/>
    </row>
    <row r="848">
      <c r="E848" s="22"/>
      <c r="H848" s="22"/>
      <c r="K848" s="22"/>
      <c r="N848" s="22"/>
    </row>
    <row r="849">
      <c r="E849" s="22"/>
      <c r="H849" s="22"/>
      <c r="K849" s="22"/>
      <c r="N849" s="22"/>
    </row>
    <row r="850">
      <c r="E850" s="22"/>
      <c r="H850" s="22"/>
      <c r="K850" s="22"/>
      <c r="N850" s="22"/>
    </row>
    <row r="851">
      <c r="E851" s="22"/>
      <c r="H851" s="22"/>
      <c r="K851" s="22"/>
      <c r="N851" s="22"/>
    </row>
    <row r="852">
      <c r="E852" s="22"/>
      <c r="H852" s="22"/>
      <c r="K852" s="22"/>
      <c r="N852" s="22"/>
    </row>
    <row r="853">
      <c r="E853" s="22"/>
      <c r="H853" s="22"/>
      <c r="K853" s="22"/>
      <c r="N853" s="22"/>
    </row>
    <row r="854">
      <c r="E854" s="22"/>
      <c r="H854" s="22"/>
      <c r="K854" s="22"/>
      <c r="N854" s="22"/>
    </row>
    <row r="855">
      <c r="E855" s="22"/>
      <c r="H855" s="22"/>
      <c r="K855" s="22"/>
      <c r="N855" s="22"/>
    </row>
    <row r="856">
      <c r="E856" s="22"/>
      <c r="H856" s="22"/>
      <c r="K856" s="22"/>
      <c r="N856" s="22"/>
    </row>
    <row r="857">
      <c r="E857" s="22"/>
      <c r="H857" s="22"/>
      <c r="K857" s="22"/>
      <c r="N857" s="22"/>
    </row>
    <row r="858">
      <c r="E858" s="22"/>
      <c r="H858" s="22"/>
      <c r="K858" s="22"/>
      <c r="N858" s="22"/>
    </row>
    <row r="859">
      <c r="E859" s="22"/>
      <c r="H859" s="22"/>
      <c r="K859" s="22"/>
      <c r="N859" s="22"/>
    </row>
    <row r="860">
      <c r="E860" s="22"/>
      <c r="H860" s="22"/>
      <c r="K860" s="22"/>
      <c r="N860" s="22"/>
    </row>
    <row r="861">
      <c r="E861" s="22"/>
      <c r="H861" s="22"/>
      <c r="K861" s="22"/>
      <c r="N861" s="22"/>
    </row>
    <row r="862">
      <c r="E862" s="22"/>
      <c r="H862" s="22"/>
      <c r="K862" s="22"/>
      <c r="N862" s="22"/>
    </row>
    <row r="863">
      <c r="E863" s="22"/>
      <c r="H863" s="22"/>
      <c r="K863" s="22"/>
      <c r="N863" s="22"/>
    </row>
    <row r="864">
      <c r="E864" s="22"/>
      <c r="H864" s="22"/>
      <c r="K864" s="22"/>
      <c r="N864" s="22"/>
    </row>
    <row r="865">
      <c r="E865" s="22"/>
      <c r="H865" s="22"/>
      <c r="K865" s="22"/>
      <c r="N865" s="22"/>
    </row>
    <row r="866">
      <c r="E866" s="22"/>
      <c r="H866" s="22"/>
      <c r="K866" s="22"/>
      <c r="N866" s="22"/>
    </row>
    <row r="867">
      <c r="E867" s="22"/>
      <c r="H867" s="22"/>
      <c r="K867" s="22"/>
      <c r="N867" s="22"/>
    </row>
    <row r="868">
      <c r="E868" s="22"/>
      <c r="H868" s="22"/>
      <c r="K868" s="22"/>
      <c r="N868" s="22"/>
    </row>
    <row r="869">
      <c r="E869" s="22"/>
      <c r="H869" s="22"/>
      <c r="K869" s="22"/>
      <c r="N869" s="22"/>
    </row>
    <row r="870">
      <c r="E870" s="22"/>
      <c r="H870" s="22"/>
      <c r="K870" s="22"/>
      <c r="N870" s="22"/>
    </row>
    <row r="871">
      <c r="E871" s="22"/>
      <c r="H871" s="22"/>
      <c r="K871" s="22"/>
      <c r="N871" s="22"/>
    </row>
    <row r="872">
      <c r="E872" s="22"/>
      <c r="H872" s="22"/>
      <c r="K872" s="22"/>
      <c r="N872" s="22"/>
    </row>
    <row r="873">
      <c r="E873" s="22"/>
      <c r="H873" s="22"/>
      <c r="K873" s="22"/>
      <c r="N873" s="22"/>
    </row>
    <row r="874">
      <c r="E874" s="22"/>
      <c r="H874" s="22"/>
      <c r="K874" s="22"/>
      <c r="N874" s="22"/>
    </row>
    <row r="875">
      <c r="E875" s="22"/>
      <c r="H875" s="22"/>
      <c r="K875" s="22"/>
      <c r="N875" s="22"/>
    </row>
    <row r="876">
      <c r="E876" s="22"/>
      <c r="H876" s="22"/>
      <c r="K876" s="22"/>
      <c r="N876" s="22"/>
    </row>
    <row r="877">
      <c r="E877" s="22"/>
      <c r="H877" s="22"/>
      <c r="K877" s="22"/>
      <c r="N877" s="22"/>
    </row>
    <row r="878">
      <c r="E878" s="22"/>
      <c r="H878" s="22"/>
      <c r="K878" s="22"/>
      <c r="N878" s="22"/>
    </row>
    <row r="879">
      <c r="E879" s="22"/>
      <c r="H879" s="22"/>
      <c r="K879" s="22"/>
      <c r="N879" s="22"/>
    </row>
    <row r="880">
      <c r="E880" s="22"/>
      <c r="H880" s="22"/>
      <c r="K880" s="22"/>
      <c r="N880" s="22"/>
    </row>
    <row r="881">
      <c r="E881" s="22"/>
      <c r="H881" s="22"/>
      <c r="K881" s="22"/>
      <c r="N881" s="22"/>
    </row>
    <row r="882">
      <c r="E882" s="22"/>
      <c r="H882" s="22"/>
      <c r="K882" s="22"/>
      <c r="N882" s="22"/>
    </row>
    <row r="883">
      <c r="E883" s="22"/>
      <c r="H883" s="22"/>
      <c r="K883" s="22"/>
      <c r="N883" s="22"/>
    </row>
    <row r="884">
      <c r="E884" s="22"/>
      <c r="H884" s="22"/>
      <c r="K884" s="22"/>
      <c r="N884" s="22"/>
    </row>
    <row r="885">
      <c r="E885" s="22"/>
      <c r="H885" s="22"/>
      <c r="K885" s="22"/>
      <c r="N885" s="22"/>
    </row>
    <row r="886">
      <c r="E886" s="22"/>
      <c r="H886" s="22"/>
      <c r="K886" s="22"/>
      <c r="N886" s="22"/>
    </row>
    <row r="887">
      <c r="E887" s="22"/>
      <c r="H887" s="22"/>
      <c r="K887" s="22"/>
      <c r="N887" s="22"/>
    </row>
    <row r="888">
      <c r="E888" s="22"/>
      <c r="H888" s="22"/>
      <c r="K888" s="22"/>
      <c r="N888" s="22"/>
    </row>
    <row r="889">
      <c r="E889" s="22"/>
      <c r="H889" s="22"/>
      <c r="K889" s="22"/>
      <c r="N889" s="22"/>
    </row>
    <row r="890">
      <c r="E890" s="22"/>
      <c r="H890" s="22"/>
      <c r="K890" s="22"/>
      <c r="N890" s="22"/>
    </row>
    <row r="891">
      <c r="E891" s="22"/>
      <c r="H891" s="22"/>
      <c r="K891" s="22"/>
      <c r="N891" s="22"/>
    </row>
    <row r="892">
      <c r="E892" s="22"/>
      <c r="H892" s="22"/>
      <c r="K892" s="22"/>
      <c r="N892" s="22"/>
    </row>
    <row r="893">
      <c r="E893" s="22"/>
      <c r="H893" s="22"/>
      <c r="K893" s="22"/>
      <c r="N893" s="22"/>
    </row>
    <row r="894">
      <c r="E894" s="22"/>
      <c r="H894" s="22"/>
      <c r="K894" s="22"/>
      <c r="N894" s="22"/>
    </row>
    <row r="895">
      <c r="E895" s="22"/>
      <c r="H895" s="22"/>
      <c r="K895" s="22"/>
      <c r="N895" s="22"/>
    </row>
    <row r="896">
      <c r="E896" s="22"/>
      <c r="H896" s="22"/>
      <c r="K896" s="22"/>
      <c r="N896" s="22"/>
    </row>
    <row r="897">
      <c r="E897" s="22"/>
      <c r="H897" s="22"/>
      <c r="K897" s="22"/>
      <c r="N897" s="22"/>
    </row>
    <row r="898">
      <c r="E898" s="22"/>
      <c r="H898" s="22"/>
      <c r="K898" s="22"/>
      <c r="N898" s="22"/>
    </row>
    <row r="899">
      <c r="E899" s="22"/>
      <c r="H899" s="22"/>
      <c r="K899" s="22"/>
      <c r="N899" s="22"/>
    </row>
    <row r="900">
      <c r="E900" s="22"/>
      <c r="H900" s="22"/>
      <c r="K900" s="22"/>
      <c r="N900" s="22"/>
    </row>
    <row r="901">
      <c r="E901" s="22"/>
      <c r="H901" s="22"/>
      <c r="K901" s="22"/>
      <c r="N901" s="22"/>
    </row>
    <row r="902">
      <c r="E902" s="22"/>
      <c r="H902" s="22"/>
      <c r="K902" s="22"/>
      <c r="N902" s="22"/>
    </row>
    <row r="903">
      <c r="E903" s="22"/>
      <c r="H903" s="22"/>
      <c r="K903" s="22"/>
      <c r="N903" s="22"/>
    </row>
    <row r="904">
      <c r="E904" s="22"/>
      <c r="H904" s="22"/>
      <c r="K904" s="22"/>
      <c r="N904" s="22"/>
    </row>
    <row r="905">
      <c r="E905" s="22"/>
      <c r="H905" s="22"/>
      <c r="K905" s="22"/>
      <c r="N905" s="22"/>
    </row>
    <row r="906">
      <c r="E906" s="22"/>
      <c r="H906" s="22"/>
      <c r="K906" s="22"/>
      <c r="N906" s="22"/>
    </row>
    <row r="907">
      <c r="E907" s="22"/>
      <c r="H907" s="22"/>
      <c r="K907" s="22"/>
      <c r="N907" s="22"/>
    </row>
    <row r="908">
      <c r="E908" s="22"/>
      <c r="H908" s="22"/>
      <c r="K908" s="22"/>
      <c r="N908" s="22"/>
    </row>
    <row r="909">
      <c r="E909" s="22"/>
      <c r="H909" s="22"/>
      <c r="K909" s="22"/>
      <c r="N909" s="22"/>
    </row>
    <row r="910">
      <c r="E910" s="22"/>
      <c r="H910" s="22"/>
      <c r="K910" s="22"/>
      <c r="N910" s="22"/>
    </row>
    <row r="911">
      <c r="E911" s="22"/>
      <c r="H911" s="22"/>
      <c r="K911" s="22"/>
      <c r="N911" s="22"/>
    </row>
    <row r="912">
      <c r="E912" s="22"/>
      <c r="H912" s="22"/>
      <c r="K912" s="22"/>
      <c r="N912" s="22"/>
    </row>
    <row r="913">
      <c r="E913" s="22"/>
      <c r="H913" s="22"/>
      <c r="K913" s="22"/>
      <c r="N913" s="22"/>
    </row>
    <row r="914">
      <c r="E914" s="22"/>
      <c r="H914" s="22"/>
      <c r="K914" s="22"/>
      <c r="N914" s="22"/>
    </row>
    <row r="915">
      <c r="E915" s="22"/>
      <c r="H915" s="22"/>
      <c r="K915" s="22"/>
      <c r="N915" s="22"/>
    </row>
    <row r="916">
      <c r="E916" s="22"/>
      <c r="H916" s="22"/>
      <c r="K916" s="22"/>
      <c r="N916" s="22"/>
    </row>
    <row r="917">
      <c r="E917" s="22"/>
      <c r="H917" s="22"/>
      <c r="K917" s="22"/>
      <c r="N917" s="22"/>
    </row>
    <row r="918">
      <c r="E918" s="22"/>
      <c r="H918" s="22"/>
      <c r="K918" s="22"/>
      <c r="N918" s="22"/>
    </row>
    <row r="919">
      <c r="E919" s="22"/>
      <c r="H919" s="22"/>
      <c r="K919" s="22"/>
      <c r="N919" s="22"/>
    </row>
    <row r="920">
      <c r="E920" s="22"/>
      <c r="H920" s="22"/>
      <c r="K920" s="22"/>
      <c r="N920" s="22"/>
    </row>
    <row r="921">
      <c r="E921" s="22"/>
      <c r="H921" s="22"/>
      <c r="K921" s="22"/>
      <c r="N921" s="22"/>
    </row>
    <row r="922">
      <c r="E922" s="22"/>
      <c r="H922" s="22"/>
      <c r="K922" s="22"/>
      <c r="N922" s="22"/>
    </row>
    <row r="923">
      <c r="E923" s="22"/>
      <c r="H923" s="22"/>
      <c r="K923" s="22"/>
      <c r="N923" s="22"/>
    </row>
    <row r="924">
      <c r="E924" s="22"/>
      <c r="H924" s="22"/>
      <c r="K924" s="22"/>
      <c r="N924" s="22"/>
    </row>
    <row r="925">
      <c r="E925" s="22"/>
      <c r="H925" s="22"/>
      <c r="K925" s="22"/>
      <c r="N925" s="22"/>
    </row>
    <row r="926">
      <c r="E926" s="22"/>
      <c r="H926" s="22"/>
      <c r="K926" s="22"/>
      <c r="N926" s="22"/>
    </row>
    <row r="927">
      <c r="E927" s="22"/>
      <c r="H927" s="22"/>
      <c r="K927" s="22"/>
      <c r="N927" s="22"/>
    </row>
    <row r="928">
      <c r="E928" s="22"/>
      <c r="H928" s="22"/>
      <c r="K928" s="22"/>
      <c r="N928" s="22"/>
    </row>
    <row r="929">
      <c r="E929" s="22"/>
      <c r="H929" s="22"/>
      <c r="K929" s="22"/>
      <c r="N929" s="22"/>
    </row>
    <row r="930">
      <c r="E930" s="22"/>
      <c r="H930" s="22"/>
      <c r="K930" s="22"/>
      <c r="N930" s="22"/>
    </row>
    <row r="931">
      <c r="E931" s="22"/>
      <c r="H931" s="22"/>
      <c r="K931" s="22"/>
      <c r="N931" s="22"/>
    </row>
    <row r="932">
      <c r="E932" s="22"/>
      <c r="H932" s="22"/>
      <c r="K932" s="22"/>
      <c r="N932" s="22"/>
    </row>
    <row r="933">
      <c r="E933" s="22"/>
      <c r="H933" s="22"/>
      <c r="K933" s="22"/>
      <c r="N933" s="22"/>
    </row>
    <row r="934">
      <c r="E934" s="22"/>
      <c r="H934" s="22"/>
      <c r="K934" s="22"/>
      <c r="N934" s="22"/>
    </row>
    <row r="935">
      <c r="E935" s="22"/>
      <c r="H935" s="22"/>
      <c r="K935" s="22"/>
      <c r="N935" s="22"/>
    </row>
    <row r="936">
      <c r="E936" s="22"/>
      <c r="H936" s="22"/>
      <c r="K936" s="22"/>
      <c r="N936" s="22"/>
    </row>
    <row r="937">
      <c r="E937" s="22"/>
      <c r="H937" s="22"/>
      <c r="K937" s="22"/>
      <c r="N937" s="22"/>
    </row>
    <row r="938">
      <c r="E938" s="22"/>
      <c r="H938" s="22"/>
      <c r="K938" s="22"/>
      <c r="N938" s="22"/>
    </row>
    <row r="939">
      <c r="E939" s="22"/>
      <c r="H939" s="22"/>
      <c r="K939" s="22"/>
      <c r="N939" s="22"/>
    </row>
    <row r="940">
      <c r="E940" s="22"/>
      <c r="H940" s="22"/>
      <c r="K940" s="22"/>
      <c r="N940" s="22"/>
    </row>
    <row r="941">
      <c r="E941" s="22"/>
      <c r="H941" s="22"/>
      <c r="K941" s="22"/>
      <c r="N941" s="22"/>
    </row>
    <row r="942">
      <c r="E942" s="22"/>
      <c r="H942" s="22"/>
      <c r="K942" s="22"/>
      <c r="N942" s="22"/>
    </row>
    <row r="943">
      <c r="E943" s="22"/>
      <c r="H943" s="22"/>
      <c r="K943" s="22"/>
      <c r="N943" s="22"/>
    </row>
    <row r="944">
      <c r="E944" s="22"/>
      <c r="H944" s="22"/>
      <c r="K944" s="22"/>
      <c r="N944" s="22"/>
    </row>
    <row r="945">
      <c r="E945" s="22"/>
      <c r="H945" s="22"/>
      <c r="K945" s="22"/>
      <c r="N945" s="22"/>
    </row>
    <row r="946">
      <c r="E946" s="22"/>
      <c r="H946" s="22"/>
      <c r="K946" s="22"/>
      <c r="N946" s="22"/>
    </row>
    <row r="947">
      <c r="E947" s="22"/>
      <c r="H947" s="22"/>
      <c r="K947" s="22"/>
      <c r="N947" s="22"/>
    </row>
    <row r="948">
      <c r="E948" s="22"/>
      <c r="H948" s="22"/>
      <c r="K948" s="22"/>
      <c r="N948" s="22"/>
    </row>
    <row r="949">
      <c r="E949" s="22"/>
      <c r="H949" s="22"/>
      <c r="K949" s="22"/>
      <c r="N949" s="22"/>
    </row>
    <row r="950">
      <c r="E950" s="22"/>
      <c r="H950" s="22"/>
      <c r="K950" s="22"/>
      <c r="N950" s="22"/>
    </row>
    <row r="951">
      <c r="E951" s="22"/>
      <c r="H951" s="22"/>
      <c r="K951" s="22"/>
      <c r="N951" s="22"/>
    </row>
    <row r="952">
      <c r="E952" s="22"/>
      <c r="H952" s="22"/>
      <c r="K952" s="22"/>
      <c r="N952" s="22"/>
    </row>
    <row r="953">
      <c r="E953" s="22"/>
      <c r="H953" s="22"/>
      <c r="K953" s="22"/>
      <c r="N953" s="22"/>
    </row>
    <row r="954">
      <c r="E954" s="22"/>
      <c r="H954" s="22"/>
      <c r="K954" s="22"/>
      <c r="N954" s="22"/>
    </row>
    <row r="955">
      <c r="E955" s="22"/>
      <c r="H955" s="22"/>
      <c r="K955" s="22"/>
      <c r="N955" s="22"/>
    </row>
    <row r="956">
      <c r="E956" s="22"/>
      <c r="H956" s="22"/>
      <c r="K956" s="22"/>
      <c r="N956" s="22"/>
    </row>
    <row r="957">
      <c r="E957" s="22"/>
      <c r="H957" s="22"/>
      <c r="K957" s="22"/>
      <c r="N957" s="22"/>
    </row>
    <row r="958">
      <c r="E958" s="22"/>
      <c r="H958" s="22"/>
      <c r="K958" s="22"/>
      <c r="N958" s="22"/>
    </row>
    <row r="959">
      <c r="E959" s="22"/>
      <c r="H959" s="22"/>
      <c r="K959" s="22"/>
      <c r="N959" s="22"/>
    </row>
    <row r="960">
      <c r="E960" s="22"/>
      <c r="H960" s="22"/>
      <c r="K960" s="22"/>
      <c r="N960" s="22"/>
    </row>
    <row r="961">
      <c r="E961" s="22"/>
      <c r="H961" s="22"/>
      <c r="K961" s="22"/>
      <c r="N961" s="22"/>
    </row>
    <row r="962">
      <c r="E962" s="22"/>
      <c r="H962" s="22"/>
      <c r="K962" s="22"/>
      <c r="N962" s="22"/>
    </row>
    <row r="963">
      <c r="E963" s="22"/>
      <c r="H963" s="22"/>
      <c r="K963" s="22"/>
      <c r="N963" s="22"/>
    </row>
    <row r="964">
      <c r="E964" s="22"/>
      <c r="H964" s="22"/>
      <c r="K964" s="22"/>
      <c r="N964" s="22"/>
    </row>
    <row r="965">
      <c r="E965" s="22"/>
      <c r="H965" s="22"/>
      <c r="K965" s="22"/>
      <c r="N965" s="22"/>
    </row>
    <row r="966">
      <c r="E966" s="22"/>
      <c r="H966" s="22"/>
      <c r="K966" s="22"/>
      <c r="N966" s="22"/>
    </row>
    <row r="967">
      <c r="E967" s="22"/>
      <c r="H967" s="22"/>
      <c r="K967" s="22"/>
      <c r="N967" s="22"/>
    </row>
    <row r="968">
      <c r="E968" s="22"/>
      <c r="H968" s="22"/>
      <c r="K968" s="22"/>
      <c r="N968" s="22"/>
    </row>
    <row r="969">
      <c r="E969" s="22"/>
      <c r="H969" s="22"/>
      <c r="K969" s="22"/>
      <c r="N969" s="22"/>
    </row>
    <row r="970">
      <c r="E970" s="22"/>
      <c r="H970" s="22"/>
      <c r="K970" s="22"/>
      <c r="N970" s="22"/>
    </row>
    <row r="971">
      <c r="E971" s="22"/>
      <c r="H971" s="22"/>
      <c r="K971" s="22"/>
      <c r="N971" s="22"/>
    </row>
    <row r="972">
      <c r="E972" s="22"/>
      <c r="H972" s="22"/>
      <c r="K972" s="22"/>
      <c r="N972" s="22"/>
    </row>
    <row r="973">
      <c r="E973" s="22"/>
      <c r="H973" s="22"/>
      <c r="K973" s="22"/>
      <c r="N973" s="22"/>
    </row>
    <row r="974">
      <c r="E974" s="22"/>
      <c r="H974" s="22"/>
      <c r="K974" s="22"/>
      <c r="N974" s="22"/>
    </row>
    <row r="975">
      <c r="E975" s="22"/>
      <c r="H975" s="22"/>
      <c r="K975" s="22"/>
      <c r="N975" s="22"/>
    </row>
    <row r="976">
      <c r="E976" s="22"/>
      <c r="H976" s="22"/>
      <c r="K976" s="22"/>
      <c r="N976" s="22"/>
    </row>
    <row r="977">
      <c r="E977" s="22"/>
      <c r="H977" s="22"/>
      <c r="K977" s="22"/>
      <c r="N977" s="22"/>
    </row>
    <row r="978">
      <c r="E978" s="22"/>
      <c r="H978" s="22"/>
      <c r="K978" s="22"/>
      <c r="N978" s="22"/>
    </row>
    <row r="979">
      <c r="E979" s="22"/>
      <c r="H979" s="22"/>
      <c r="K979" s="22"/>
      <c r="N979" s="22"/>
    </row>
    <row r="980">
      <c r="E980" s="22"/>
      <c r="H980" s="22"/>
      <c r="K980" s="22"/>
      <c r="N980" s="22"/>
    </row>
    <row r="981">
      <c r="E981" s="22"/>
      <c r="H981" s="22"/>
      <c r="K981" s="22"/>
      <c r="N981" s="22"/>
    </row>
    <row r="982">
      <c r="E982" s="22"/>
      <c r="H982" s="22"/>
      <c r="K982" s="22"/>
      <c r="N982" s="22"/>
    </row>
    <row r="983">
      <c r="E983" s="22"/>
      <c r="H983" s="22"/>
      <c r="K983" s="22"/>
      <c r="N983" s="22"/>
    </row>
    <row r="984">
      <c r="E984" s="22"/>
      <c r="H984" s="22"/>
      <c r="K984" s="22"/>
      <c r="N984" s="22"/>
    </row>
    <row r="985">
      <c r="E985" s="22"/>
      <c r="H985" s="22"/>
      <c r="K985" s="22"/>
      <c r="N985" s="22"/>
    </row>
    <row r="986">
      <c r="E986" s="22"/>
      <c r="H986" s="22"/>
      <c r="K986" s="22"/>
      <c r="N986" s="22"/>
    </row>
    <row r="987">
      <c r="E987" s="22"/>
      <c r="H987" s="22"/>
      <c r="K987" s="22"/>
      <c r="N987" s="22"/>
    </row>
    <row r="988">
      <c r="E988" s="22"/>
      <c r="H988" s="22"/>
      <c r="K988" s="22"/>
      <c r="N988" s="22"/>
    </row>
    <row r="989">
      <c r="E989" s="22"/>
      <c r="H989" s="22"/>
      <c r="K989" s="22"/>
      <c r="N989" s="22"/>
    </row>
    <row r="990">
      <c r="E990" s="22"/>
      <c r="H990" s="22"/>
      <c r="K990" s="22"/>
      <c r="N990" s="22"/>
    </row>
    <row r="991">
      <c r="E991" s="22"/>
      <c r="H991" s="22"/>
      <c r="K991" s="22"/>
      <c r="N991" s="22"/>
    </row>
    <row r="992">
      <c r="E992" s="22"/>
      <c r="H992" s="22"/>
      <c r="K992" s="22"/>
      <c r="N992" s="22"/>
    </row>
    <row r="993">
      <c r="E993" s="22"/>
      <c r="H993" s="22"/>
      <c r="K993" s="22"/>
      <c r="N993" s="22"/>
    </row>
    <row r="994">
      <c r="E994" s="22"/>
      <c r="H994" s="22"/>
      <c r="K994" s="22"/>
      <c r="N994" s="22"/>
    </row>
    <row r="995">
      <c r="E995" s="22"/>
      <c r="H995" s="22"/>
      <c r="K995" s="22"/>
      <c r="N995" s="22"/>
    </row>
    <row r="996">
      <c r="E996" s="22"/>
      <c r="H996" s="22"/>
      <c r="K996" s="22"/>
      <c r="N996" s="22"/>
    </row>
    <row r="997">
      <c r="E997" s="22"/>
      <c r="H997" s="22"/>
      <c r="K997" s="22"/>
      <c r="N997" s="22"/>
    </row>
    <row r="998">
      <c r="E998" s="22"/>
      <c r="H998" s="22"/>
      <c r="K998" s="22"/>
      <c r="N998" s="22"/>
    </row>
    <row r="999">
      <c r="E999" s="22"/>
      <c r="H999" s="22"/>
      <c r="K999" s="22"/>
      <c r="N999" s="22"/>
    </row>
    <row r="1000">
      <c r="E1000" s="22"/>
      <c r="H1000" s="22"/>
      <c r="K1000" s="22"/>
      <c r="N1000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184.26</v>
      </c>
      <c r="D1" s="1" t="s">
        <v>2</v>
      </c>
      <c r="E1" s="3">
        <f>SUM(E3:E62)</f>
        <v>40</v>
      </c>
      <c r="G1" s="1" t="s">
        <v>4</v>
      </c>
      <c r="H1" s="3">
        <f>SUM(H3:H62)</f>
        <v>0</v>
      </c>
      <c r="J1" s="1" t="s">
        <v>8</v>
      </c>
      <c r="K1" s="3">
        <f>SUM(K3:K62)</f>
        <v>463.11</v>
      </c>
      <c r="M1" s="1" t="s">
        <v>14</v>
      </c>
      <c r="N1" s="3">
        <f>SUM(N3:N62)</f>
        <v>0</v>
      </c>
    </row>
    <row r="2">
      <c r="A2" s="7" t="s">
        <v>20</v>
      </c>
      <c r="B2" s="8" t="s">
        <v>21</v>
      </c>
      <c r="D2" s="7" t="s">
        <v>20</v>
      </c>
      <c r="E2" s="20" t="s">
        <v>21</v>
      </c>
      <c r="G2" s="7" t="s">
        <v>20</v>
      </c>
      <c r="H2" s="8" t="s">
        <v>21</v>
      </c>
      <c r="J2" s="7" t="s">
        <v>20</v>
      </c>
      <c r="K2" s="20" t="s">
        <v>21</v>
      </c>
      <c r="M2" s="7" t="s">
        <v>20</v>
      </c>
      <c r="N2" s="20" t="s">
        <v>21</v>
      </c>
    </row>
    <row r="3">
      <c r="A3" s="11" t="s">
        <v>158</v>
      </c>
      <c r="B3" s="12">
        <v>80.0</v>
      </c>
      <c r="D3" s="11" t="s">
        <v>159</v>
      </c>
      <c r="E3" s="12">
        <v>40.0</v>
      </c>
      <c r="G3" s="14"/>
      <c r="H3" s="15"/>
      <c r="J3" s="11" t="s">
        <v>160</v>
      </c>
      <c r="K3" s="12">
        <v>34.03</v>
      </c>
      <c r="M3" s="11"/>
      <c r="N3" s="12"/>
    </row>
    <row r="4">
      <c r="A4" s="11" t="s">
        <v>161</v>
      </c>
      <c r="B4" s="12">
        <v>8.76</v>
      </c>
      <c r="D4" s="11"/>
      <c r="E4" s="12"/>
      <c r="G4" s="14"/>
      <c r="H4" s="15"/>
      <c r="J4" s="11" t="s">
        <v>126</v>
      </c>
      <c r="K4" s="12">
        <v>12.0</v>
      </c>
      <c r="M4" s="11"/>
      <c r="N4" s="12"/>
    </row>
    <row r="5">
      <c r="A5" s="11" t="s">
        <v>23</v>
      </c>
      <c r="B5" s="12">
        <v>34.03</v>
      </c>
      <c r="D5" s="11"/>
      <c r="E5" s="12"/>
      <c r="G5" s="14"/>
      <c r="H5" s="15"/>
      <c r="J5" s="11" t="s">
        <v>162</v>
      </c>
      <c r="K5" s="12">
        <v>200.0</v>
      </c>
      <c r="M5" s="14"/>
      <c r="N5" s="23"/>
    </row>
    <row r="6">
      <c r="A6" s="11" t="s">
        <v>95</v>
      </c>
      <c r="B6" s="12">
        <v>8.76</v>
      </c>
      <c r="D6" s="14"/>
      <c r="E6" s="23"/>
      <c r="G6" s="14"/>
      <c r="H6" s="15"/>
      <c r="J6" s="11" t="s">
        <v>26</v>
      </c>
      <c r="K6" s="12">
        <v>50.0</v>
      </c>
      <c r="M6" s="14"/>
      <c r="N6" s="23"/>
    </row>
    <row r="7">
      <c r="A7" s="11" t="s">
        <v>23</v>
      </c>
      <c r="B7" s="12">
        <v>3.74</v>
      </c>
      <c r="D7" s="14"/>
      <c r="E7" s="23"/>
      <c r="G7" s="14"/>
      <c r="H7" s="15"/>
      <c r="J7" s="11" t="s">
        <v>47</v>
      </c>
      <c r="K7" s="12">
        <v>10.99</v>
      </c>
      <c r="M7" s="14"/>
      <c r="N7" s="23"/>
    </row>
    <row r="8">
      <c r="A8" s="11" t="s">
        <v>23</v>
      </c>
      <c r="B8" s="12">
        <v>9.38</v>
      </c>
      <c r="D8" s="14"/>
      <c r="E8" s="23"/>
      <c r="G8" s="14"/>
      <c r="H8" s="15"/>
      <c r="J8" s="11" t="s">
        <v>44</v>
      </c>
      <c r="K8" s="12">
        <v>8.0</v>
      </c>
      <c r="M8" s="14"/>
      <c r="N8" s="23"/>
    </row>
    <row r="9">
      <c r="A9" s="11" t="s">
        <v>23</v>
      </c>
      <c r="B9" s="12">
        <v>11.83</v>
      </c>
      <c r="D9" s="14"/>
      <c r="E9" s="23"/>
      <c r="G9" s="14"/>
      <c r="H9" s="15"/>
      <c r="J9" s="11" t="s">
        <v>163</v>
      </c>
      <c r="K9" s="12">
        <v>1.0</v>
      </c>
      <c r="M9" s="14"/>
      <c r="N9" s="23"/>
    </row>
    <row r="10">
      <c r="A10" s="11" t="s">
        <v>73</v>
      </c>
      <c r="B10" s="12">
        <v>23.24</v>
      </c>
      <c r="D10" s="14"/>
      <c r="E10" s="23"/>
      <c r="G10" s="14"/>
      <c r="H10" s="15"/>
      <c r="J10" s="11" t="s">
        <v>164</v>
      </c>
      <c r="K10" s="12">
        <v>118.15</v>
      </c>
      <c r="M10" s="14"/>
      <c r="N10" s="23"/>
    </row>
    <row r="11">
      <c r="A11" s="11" t="s">
        <v>93</v>
      </c>
      <c r="B11" s="12">
        <v>2.98</v>
      </c>
      <c r="D11" s="14"/>
      <c r="E11" s="23"/>
      <c r="G11" s="14"/>
      <c r="H11" s="15"/>
      <c r="J11" s="11" t="s">
        <v>165</v>
      </c>
      <c r="K11" s="12">
        <v>11.99</v>
      </c>
      <c r="M11" s="14"/>
      <c r="N11" s="23"/>
    </row>
    <row r="12">
      <c r="A12" s="11" t="s">
        <v>32</v>
      </c>
      <c r="B12" s="12">
        <v>1.54</v>
      </c>
      <c r="D12" s="14"/>
      <c r="E12" s="23"/>
      <c r="G12" s="14"/>
      <c r="H12" s="15"/>
      <c r="J12" s="11" t="s">
        <v>166</v>
      </c>
      <c r="K12" s="12">
        <v>16.95</v>
      </c>
      <c r="M12" s="14"/>
      <c r="N12" s="23"/>
    </row>
    <row r="13">
      <c r="A13" s="11"/>
      <c r="B13" s="12"/>
      <c r="D13" s="14"/>
      <c r="E13" s="23"/>
      <c r="G13" s="14"/>
      <c r="H13" s="15"/>
      <c r="J13" s="11"/>
      <c r="K13" s="12"/>
      <c r="M13" s="14"/>
      <c r="N13" s="23"/>
    </row>
    <row r="14">
      <c r="A14" s="11"/>
      <c r="B14" s="12"/>
      <c r="D14" s="14"/>
      <c r="E14" s="23"/>
      <c r="G14" s="14"/>
      <c r="H14" s="15"/>
      <c r="J14" s="11"/>
      <c r="K14" s="12"/>
      <c r="M14" s="14"/>
      <c r="N14" s="23"/>
    </row>
    <row r="15">
      <c r="A15" s="11"/>
      <c r="B15" s="23"/>
      <c r="D15" s="14"/>
      <c r="E15" s="23"/>
      <c r="G15" s="14"/>
      <c r="H15" s="15"/>
      <c r="J15" s="11"/>
      <c r="K15" s="12"/>
      <c r="M15" s="14"/>
      <c r="N15" s="23"/>
    </row>
    <row r="16">
      <c r="A16" s="11"/>
      <c r="B16" s="12"/>
      <c r="D16" s="14"/>
      <c r="E16" s="23"/>
      <c r="G16" s="14"/>
      <c r="H16" s="15"/>
      <c r="J16" s="11"/>
      <c r="K16" s="12"/>
      <c r="M16" s="14"/>
      <c r="N16" s="23"/>
    </row>
    <row r="17">
      <c r="A17" s="11"/>
      <c r="B17" s="12"/>
      <c r="D17" s="14"/>
      <c r="E17" s="23"/>
      <c r="G17" s="14"/>
      <c r="H17" s="15"/>
      <c r="J17" s="11"/>
      <c r="K17" s="12"/>
      <c r="M17" s="14"/>
      <c r="N17" s="23"/>
    </row>
    <row r="18">
      <c r="A18" s="11"/>
      <c r="B18" s="12"/>
      <c r="D18" s="14"/>
      <c r="E18" s="23"/>
      <c r="G18" s="14"/>
      <c r="H18" s="15"/>
      <c r="J18" s="11"/>
      <c r="K18" s="12"/>
      <c r="M18" s="14"/>
      <c r="N18" s="23"/>
    </row>
    <row r="19">
      <c r="A19" s="11"/>
      <c r="B19" s="12"/>
      <c r="D19" s="14"/>
      <c r="E19" s="23"/>
      <c r="G19" s="14"/>
      <c r="H19" s="15"/>
      <c r="J19" s="11"/>
      <c r="K19" s="12"/>
      <c r="M19" s="14"/>
      <c r="N19" s="23"/>
    </row>
    <row r="20">
      <c r="A20" s="11"/>
      <c r="B20" s="12"/>
      <c r="D20" s="14"/>
      <c r="E20" s="23"/>
      <c r="G20" s="14"/>
      <c r="H20" s="15"/>
      <c r="J20" s="14"/>
      <c r="K20" s="23"/>
      <c r="M20" s="14"/>
      <c r="N20" s="23"/>
    </row>
    <row r="21">
      <c r="A21" s="11"/>
      <c r="B21" s="12"/>
      <c r="D21" s="14"/>
      <c r="E21" s="23"/>
      <c r="G21" s="14"/>
      <c r="H21" s="15"/>
      <c r="J21" s="14"/>
      <c r="K21" s="23"/>
      <c r="M21" s="14"/>
      <c r="N21" s="23"/>
    </row>
    <row r="22">
      <c r="A22" s="11"/>
      <c r="B22" s="23"/>
      <c r="D22" s="14"/>
      <c r="E22" s="23"/>
      <c r="G22" s="14"/>
      <c r="H22" s="15"/>
      <c r="J22" s="14"/>
      <c r="K22" s="23"/>
      <c r="M22" s="14"/>
      <c r="N22" s="23"/>
    </row>
    <row r="23">
      <c r="A23" s="11"/>
      <c r="B23" s="12"/>
      <c r="D23" s="14"/>
      <c r="E23" s="23"/>
      <c r="G23" s="14"/>
      <c r="H23" s="15"/>
      <c r="J23" s="14"/>
      <c r="K23" s="23"/>
      <c r="M23" s="14"/>
      <c r="N23" s="23"/>
    </row>
    <row r="24">
      <c r="A24" s="11"/>
      <c r="B24" s="12"/>
      <c r="D24" s="14"/>
      <c r="E24" s="23"/>
      <c r="G24" s="14"/>
      <c r="H24" s="15"/>
      <c r="J24" s="14"/>
      <c r="K24" s="23"/>
      <c r="M24" s="14"/>
      <c r="N24" s="23"/>
    </row>
    <row r="25">
      <c r="A25" s="11"/>
      <c r="B25" s="12"/>
      <c r="D25" s="14"/>
      <c r="E25" s="23"/>
      <c r="G25" s="14"/>
      <c r="H25" s="15"/>
      <c r="J25" s="14"/>
      <c r="K25" s="23"/>
      <c r="M25" s="14"/>
      <c r="N25" s="23"/>
    </row>
    <row r="26">
      <c r="A26" s="11"/>
      <c r="B26" s="12"/>
      <c r="D26" s="14"/>
      <c r="E26" s="23"/>
      <c r="G26" s="14"/>
      <c r="H26" s="15"/>
      <c r="J26" s="14"/>
      <c r="K26" s="23"/>
      <c r="M26" s="14"/>
      <c r="N26" s="23"/>
    </row>
    <row r="27">
      <c r="A27" s="11"/>
      <c r="B27" s="12"/>
      <c r="D27" s="14"/>
      <c r="E27" s="23"/>
      <c r="G27" s="14"/>
      <c r="H27" s="15"/>
      <c r="J27" s="14"/>
      <c r="K27" s="23"/>
      <c r="M27" s="14"/>
      <c r="N27" s="23"/>
    </row>
    <row r="28">
      <c r="A28" s="11"/>
      <c r="B28" s="12"/>
      <c r="D28" s="14"/>
      <c r="E28" s="23"/>
      <c r="G28" s="14"/>
      <c r="H28" s="15"/>
      <c r="J28" s="14"/>
      <c r="K28" s="23"/>
      <c r="M28" s="14"/>
      <c r="N28" s="23"/>
    </row>
    <row r="29">
      <c r="A29" s="11"/>
      <c r="B29" s="12"/>
      <c r="D29" s="14"/>
      <c r="E29" s="23"/>
      <c r="G29" s="14"/>
      <c r="H29" s="15"/>
      <c r="J29" s="14"/>
      <c r="K29" s="23"/>
      <c r="M29" s="14"/>
      <c r="N29" s="23"/>
    </row>
    <row r="30">
      <c r="A30" s="11"/>
      <c r="B30" s="12"/>
      <c r="D30" s="14"/>
      <c r="E30" s="23"/>
      <c r="G30" s="14"/>
      <c r="H30" s="15"/>
      <c r="J30" s="14"/>
      <c r="K30" s="23"/>
      <c r="M30" s="14"/>
      <c r="N30" s="23"/>
    </row>
    <row r="31">
      <c r="A31" s="14"/>
      <c r="B31" s="23"/>
      <c r="D31" s="14"/>
      <c r="E31" s="23"/>
      <c r="G31" s="14"/>
      <c r="H31" s="15"/>
      <c r="J31" s="14"/>
      <c r="K31" s="23"/>
      <c r="M31" s="14"/>
      <c r="N31" s="23"/>
    </row>
    <row r="32">
      <c r="A32" s="14"/>
      <c r="B32" s="23"/>
      <c r="D32" s="14"/>
      <c r="E32" s="23"/>
      <c r="G32" s="14"/>
      <c r="H32" s="15"/>
      <c r="J32" s="14"/>
      <c r="K32" s="23"/>
      <c r="M32" s="14"/>
      <c r="N32" s="23"/>
    </row>
    <row r="33">
      <c r="A33" s="14"/>
      <c r="B33" s="23"/>
      <c r="D33" s="14"/>
      <c r="E33" s="23"/>
      <c r="G33" s="14"/>
      <c r="H33" s="15"/>
      <c r="J33" s="14"/>
      <c r="K33" s="23"/>
      <c r="M33" s="14"/>
      <c r="N33" s="23"/>
    </row>
    <row r="34">
      <c r="A34" s="14"/>
      <c r="B34" s="23"/>
      <c r="D34" s="14"/>
      <c r="E34" s="23"/>
      <c r="G34" s="14"/>
      <c r="H34" s="15"/>
      <c r="J34" s="14"/>
      <c r="K34" s="23"/>
      <c r="M34" s="14"/>
      <c r="N34" s="23"/>
    </row>
    <row r="35">
      <c r="A35" s="14"/>
      <c r="B35" s="23"/>
      <c r="D35" s="14"/>
      <c r="E35" s="23"/>
      <c r="G35" s="14"/>
      <c r="H35" s="15"/>
      <c r="J35" s="14"/>
      <c r="K35" s="23"/>
      <c r="M35" s="14"/>
      <c r="N35" s="23"/>
    </row>
    <row r="36">
      <c r="A36" s="14"/>
      <c r="B36" s="23"/>
      <c r="D36" s="14"/>
      <c r="E36" s="23"/>
      <c r="G36" s="14"/>
      <c r="H36" s="15"/>
      <c r="J36" s="14"/>
      <c r="K36" s="23"/>
      <c r="M36" s="14"/>
      <c r="N36" s="23"/>
    </row>
    <row r="37">
      <c r="A37" s="14"/>
      <c r="B37" s="23"/>
      <c r="D37" s="14"/>
      <c r="E37" s="23"/>
      <c r="G37" s="14"/>
      <c r="H37" s="15"/>
      <c r="J37" s="14"/>
      <c r="K37" s="23"/>
      <c r="M37" s="14"/>
      <c r="N37" s="23"/>
    </row>
    <row r="38">
      <c r="A38" s="14"/>
      <c r="B38" s="23"/>
      <c r="D38" s="14"/>
      <c r="E38" s="23"/>
      <c r="G38" s="14"/>
      <c r="H38" s="15"/>
      <c r="J38" s="14"/>
      <c r="K38" s="23"/>
      <c r="M38" s="14"/>
      <c r="N38" s="23"/>
    </row>
    <row r="39">
      <c r="A39" s="14"/>
      <c r="B39" s="23"/>
      <c r="D39" s="14"/>
      <c r="E39" s="23"/>
      <c r="G39" s="14"/>
      <c r="H39" s="15"/>
      <c r="J39" s="14"/>
      <c r="K39" s="23"/>
      <c r="M39" s="14"/>
      <c r="N39" s="23"/>
    </row>
    <row r="40">
      <c r="A40" s="14"/>
      <c r="B40" s="23"/>
      <c r="D40" s="14"/>
      <c r="E40" s="23"/>
      <c r="G40" s="14"/>
      <c r="H40" s="15"/>
      <c r="J40" s="14"/>
      <c r="K40" s="23"/>
      <c r="M40" s="14"/>
      <c r="N40" s="23"/>
    </row>
    <row r="41">
      <c r="A41" s="14"/>
      <c r="B41" s="23"/>
      <c r="D41" s="14"/>
      <c r="E41" s="23"/>
      <c r="G41" s="14"/>
      <c r="H41" s="15"/>
      <c r="J41" s="14"/>
      <c r="K41" s="23"/>
      <c r="M41" s="14"/>
      <c r="N41" s="23"/>
    </row>
    <row r="42">
      <c r="A42" s="14"/>
      <c r="B42" s="23"/>
      <c r="D42" s="14"/>
      <c r="E42" s="23"/>
      <c r="G42" s="14"/>
      <c r="H42" s="15"/>
      <c r="J42" s="14"/>
      <c r="K42" s="23"/>
      <c r="M42" s="14"/>
      <c r="N42" s="23"/>
    </row>
    <row r="43">
      <c r="A43" s="14"/>
      <c r="B43" s="23"/>
      <c r="D43" s="14"/>
      <c r="E43" s="23"/>
      <c r="G43" s="14"/>
      <c r="H43" s="15"/>
      <c r="J43" s="14"/>
      <c r="K43" s="23"/>
      <c r="M43" s="14"/>
      <c r="N43" s="23"/>
    </row>
    <row r="44">
      <c r="A44" s="14"/>
      <c r="B44" s="23"/>
      <c r="D44" s="14"/>
      <c r="E44" s="23"/>
      <c r="G44" s="14"/>
      <c r="H44" s="15"/>
      <c r="J44" s="14"/>
      <c r="K44" s="23"/>
      <c r="M44" s="14"/>
      <c r="N44" s="23"/>
    </row>
    <row r="45">
      <c r="A45" s="14"/>
      <c r="B45" s="23"/>
      <c r="D45" s="14"/>
      <c r="E45" s="23"/>
      <c r="G45" s="14"/>
      <c r="H45" s="15"/>
      <c r="J45" s="14"/>
      <c r="K45" s="23"/>
      <c r="M45" s="14"/>
      <c r="N45" s="23"/>
    </row>
    <row r="46">
      <c r="A46" s="14"/>
      <c r="B46" s="23"/>
      <c r="D46" s="14"/>
      <c r="E46" s="23"/>
      <c r="G46" s="14"/>
      <c r="H46" s="15"/>
      <c r="J46" s="14"/>
      <c r="K46" s="23"/>
      <c r="M46" s="14"/>
      <c r="N46" s="23"/>
    </row>
    <row r="47">
      <c r="A47" s="14"/>
      <c r="B47" s="23"/>
      <c r="D47" s="14"/>
      <c r="E47" s="23"/>
      <c r="G47" s="14"/>
      <c r="H47" s="15"/>
      <c r="J47" s="14"/>
      <c r="K47" s="23"/>
      <c r="M47" s="14"/>
      <c r="N47" s="23"/>
    </row>
    <row r="48">
      <c r="A48" s="14"/>
      <c r="B48" s="23"/>
      <c r="D48" s="14"/>
      <c r="E48" s="23"/>
      <c r="G48" s="14"/>
      <c r="H48" s="15"/>
      <c r="J48" s="14"/>
      <c r="K48" s="23"/>
      <c r="M48" s="14"/>
      <c r="N48" s="23"/>
    </row>
    <row r="49">
      <c r="A49" s="14"/>
      <c r="B49" s="23"/>
      <c r="D49" s="14"/>
      <c r="E49" s="23"/>
      <c r="G49" s="14"/>
      <c r="H49" s="15"/>
      <c r="J49" s="14"/>
      <c r="K49" s="23"/>
      <c r="M49" s="14"/>
      <c r="N49" s="23"/>
    </row>
    <row r="50">
      <c r="A50" s="14"/>
      <c r="B50" s="23"/>
      <c r="D50" s="14"/>
      <c r="E50" s="23"/>
      <c r="G50" s="14"/>
      <c r="H50" s="15"/>
      <c r="J50" s="14"/>
      <c r="K50" s="23"/>
      <c r="M50" s="14"/>
      <c r="N50" s="23"/>
    </row>
    <row r="51">
      <c r="A51" s="14"/>
      <c r="B51" s="23"/>
      <c r="D51" s="14"/>
      <c r="E51" s="23"/>
      <c r="G51" s="14"/>
      <c r="H51" s="15"/>
      <c r="J51" s="14"/>
      <c r="K51" s="23"/>
      <c r="M51" s="14"/>
      <c r="N51" s="23"/>
    </row>
    <row r="52">
      <c r="A52" s="14"/>
      <c r="B52" s="23"/>
      <c r="D52" s="14"/>
      <c r="E52" s="23"/>
      <c r="G52" s="14"/>
      <c r="H52" s="15"/>
      <c r="J52" s="14"/>
      <c r="K52" s="23"/>
      <c r="M52" s="14"/>
      <c r="N52" s="23"/>
    </row>
    <row r="53">
      <c r="A53" s="14"/>
      <c r="B53" s="23"/>
      <c r="D53" s="14"/>
      <c r="E53" s="23"/>
      <c r="G53" s="14"/>
      <c r="H53" s="15"/>
      <c r="J53" s="14"/>
      <c r="K53" s="23"/>
      <c r="M53" s="14"/>
      <c r="N53" s="23"/>
    </row>
    <row r="54">
      <c r="A54" s="14"/>
      <c r="B54" s="23"/>
      <c r="D54" s="14"/>
      <c r="E54" s="23"/>
      <c r="G54" s="14"/>
      <c r="H54" s="15"/>
      <c r="J54" s="14"/>
      <c r="K54" s="23"/>
      <c r="M54" s="14"/>
      <c r="N54" s="23"/>
    </row>
    <row r="55">
      <c r="A55" s="14"/>
      <c r="B55" s="23"/>
      <c r="D55" s="14"/>
      <c r="E55" s="23"/>
      <c r="G55" s="14"/>
      <c r="H55" s="15"/>
      <c r="J55" s="14"/>
      <c r="K55" s="23"/>
      <c r="M55" s="14"/>
      <c r="N55" s="23"/>
    </row>
    <row r="56">
      <c r="A56" s="14"/>
      <c r="B56" s="23"/>
      <c r="D56" s="14"/>
      <c r="E56" s="23"/>
      <c r="G56" s="14"/>
      <c r="H56" s="15"/>
      <c r="J56" s="14"/>
      <c r="K56" s="23"/>
      <c r="M56" s="14"/>
      <c r="N56" s="23"/>
    </row>
    <row r="57">
      <c r="A57" s="14"/>
      <c r="B57" s="23"/>
      <c r="D57" s="14"/>
      <c r="E57" s="23"/>
      <c r="G57" s="14"/>
      <c r="H57" s="15"/>
      <c r="J57" s="14"/>
      <c r="K57" s="23"/>
      <c r="M57" s="14"/>
      <c r="N57" s="23"/>
    </row>
    <row r="58">
      <c r="A58" s="14"/>
      <c r="B58" s="23"/>
      <c r="D58" s="14"/>
      <c r="E58" s="23"/>
      <c r="G58" s="14"/>
      <c r="H58" s="15"/>
      <c r="J58" s="14"/>
      <c r="K58" s="23"/>
      <c r="M58" s="14"/>
      <c r="N58" s="23"/>
    </row>
    <row r="59">
      <c r="A59" s="14"/>
      <c r="B59" s="23"/>
      <c r="D59" s="14"/>
      <c r="E59" s="23"/>
      <c r="G59" s="14"/>
      <c r="H59" s="15"/>
      <c r="J59" s="14"/>
      <c r="K59" s="23"/>
      <c r="M59" s="14"/>
      <c r="N59" s="23"/>
    </row>
    <row r="60">
      <c r="A60" s="14"/>
      <c r="B60" s="23"/>
      <c r="D60" s="14"/>
      <c r="E60" s="23"/>
      <c r="G60" s="14"/>
      <c r="H60" s="15"/>
      <c r="J60" s="14"/>
      <c r="K60" s="23"/>
      <c r="M60" s="14"/>
      <c r="N60" s="23"/>
    </row>
    <row r="61">
      <c r="A61" s="14"/>
      <c r="B61" s="23"/>
      <c r="D61" s="14"/>
      <c r="E61" s="23"/>
      <c r="G61" s="14"/>
      <c r="H61" s="15"/>
      <c r="J61" s="14"/>
      <c r="K61" s="23"/>
      <c r="M61" s="14"/>
      <c r="N61" s="23"/>
    </row>
    <row r="62">
      <c r="A62" s="33"/>
      <c r="B62" s="34"/>
      <c r="D62" s="33"/>
      <c r="E62" s="34"/>
      <c r="G62" s="33"/>
      <c r="H62" s="35"/>
      <c r="J62" s="33"/>
      <c r="K62" s="34"/>
      <c r="M62" s="33"/>
      <c r="N62" s="34"/>
    </row>
    <row r="63">
      <c r="E63" s="22"/>
      <c r="K63" s="22"/>
      <c r="N63" s="22"/>
    </row>
    <row r="64">
      <c r="E64" s="22"/>
      <c r="K64" s="22"/>
      <c r="N64" s="22"/>
    </row>
    <row r="65">
      <c r="E65" s="22"/>
      <c r="K65" s="22"/>
      <c r="N65" s="22"/>
    </row>
    <row r="66">
      <c r="E66" s="22"/>
      <c r="K66" s="22"/>
      <c r="N66" s="22"/>
    </row>
    <row r="67">
      <c r="E67" s="22"/>
      <c r="K67" s="22"/>
      <c r="N67" s="22"/>
    </row>
    <row r="68">
      <c r="E68" s="22"/>
      <c r="K68" s="22"/>
      <c r="N68" s="22"/>
    </row>
    <row r="69">
      <c r="E69" s="22"/>
      <c r="K69" s="22"/>
      <c r="N69" s="22"/>
    </row>
    <row r="70">
      <c r="E70" s="22"/>
      <c r="K70" s="22"/>
      <c r="N70" s="22"/>
    </row>
    <row r="71">
      <c r="E71" s="22"/>
      <c r="K71" s="22"/>
      <c r="N71" s="22"/>
    </row>
    <row r="72">
      <c r="E72" s="22"/>
      <c r="K72" s="22"/>
      <c r="N72" s="22"/>
    </row>
    <row r="73">
      <c r="E73" s="22"/>
      <c r="K73" s="22"/>
      <c r="N73" s="22"/>
    </row>
    <row r="74">
      <c r="E74" s="22"/>
      <c r="K74" s="22"/>
      <c r="N74" s="22"/>
    </row>
    <row r="75">
      <c r="E75" s="22"/>
      <c r="K75" s="22"/>
      <c r="N75" s="22"/>
    </row>
    <row r="76">
      <c r="E76" s="22"/>
      <c r="K76" s="22"/>
      <c r="N76" s="22"/>
    </row>
    <row r="77">
      <c r="E77" s="22"/>
      <c r="K77" s="22"/>
      <c r="N77" s="22"/>
    </row>
    <row r="78">
      <c r="E78" s="22"/>
      <c r="K78" s="22"/>
      <c r="N78" s="22"/>
    </row>
    <row r="79">
      <c r="E79" s="22"/>
      <c r="K79" s="22"/>
      <c r="N79" s="22"/>
    </row>
    <row r="80">
      <c r="E80" s="22"/>
      <c r="K80" s="22"/>
      <c r="N80" s="22"/>
    </row>
    <row r="81">
      <c r="E81" s="22"/>
      <c r="K81" s="22"/>
      <c r="N81" s="22"/>
    </row>
    <row r="82">
      <c r="E82" s="22"/>
      <c r="K82" s="22"/>
      <c r="N82" s="22"/>
    </row>
    <row r="83">
      <c r="E83" s="22"/>
      <c r="K83" s="22"/>
      <c r="N83" s="22"/>
    </row>
    <row r="84">
      <c r="E84" s="22"/>
      <c r="K84" s="22"/>
      <c r="N84" s="22"/>
    </row>
    <row r="85">
      <c r="E85" s="22"/>
      <c r="K85" s="22"/>
      <c r="N85" s="22"/>
    </row>
    <row r="86">
      <c r="E86" s="22"/>
      <c r="K86" s="22"/>
      <c r="N86" s="22"/>
    </row>
    <row r="87">
      <c r="E87" s="22"/>
      <c r="K87" s="22"/>
      <c r="N87" s="22"/>
    </row>
    <row r="88">
      <c r="E88" s="22"/>
      <c r="K88" s="22"/>
      <c r="N88" s="22"/>
    </row>
    <row r="89">
      <c r="E89" s="22"/>
      <c r="K89" s="22"/>
      <c r="N89" s="22"/>
    </row>
    <row r="90">
      <c r="E90" s="22"/>
      <c r="K90" s="22"/>
      <c r="N90" s="22"/>
    </row>
    <row r="91">
      <c r="E91" s="22"/>
      <c r="K91" s="22"/>
      <c r="N91" s="22"/>
    </row>
    <row r="92">
      <c r="E92" s="22"/>
      <c r="K92" s="22"/>
      <c r="N92" s="22"/>
    </row>
    <row r="93">
      <c r="E93" s="22"/>
      <c r="K93" s="22"/>
      <c r="N93" s="22"/>
    </row>
    <row r="94">
      <c r="E94" s="22"/>
      <c r="K94" s="22"/>
      <c r="N94" s="22"/>
    </row>
    <row r="95">
      <c r="E95" s="22"/>
      <c r="K95" s="22"/>
      <c r="N95" s="22"/>
    </row>
    <row r="96">
      <c r="E96" s="22"/>
      <c r="K96" s="22"/>
      <c r="N96" s="22"/>
    </row>
    <row r="97">
      <c r="E97" s="22"/>
      <c r="K97" s="22"/>
      <c r="N97" s="22"/>
    </row>
    <row r="98">
      <c r="E98" s="22"/>
      <c r="K98" s="22"/>
      <c r="N98" s="22"/>
    </row>
    <row r="99">
      <c r="E99" s="22"/>
      <c r="K99" s="22"/>
      <c r="N99" s="22"/>
    </row>
    <row r="100">
      <c r="E100" s="22"/>
      <c r="K100" s="22"/>
      <c r="N100" s="22"/>
    </row>
    <row r="101">
      <c r="E101" s="22"/>
      <c r="K101" s="22"/>
      <c r="N101" s="22"/>
    </row>
    <row r="102">
      <c r="E102" s="22"/>
      <c r="K102" s="22"/>
      <c r="N102" s="22"/>
    </row>
    <row r="103">
      <c r="E103" s="22"/>
      <c r="K103" s="22"/>
      <c r="N103" s="22"/>
    </row>
    <row r="104">
      <c r="E104" s="22"/>
      <c r="K104" s="22"/>
      <c r="N104" s="22"/>
    </row>
    <row r="105">
      <c r="E105" s="22"/>
      <c r="K105" s="22"/>
      <c r="N105" s="22"/>
    </row>
    <row r="106">
      <c r="E106" s="22"/>
      <c r="K106" s="22"/>
      <c r="N106" s="22"/>
    </row>
    <row r="107">
      <c r="E107" s="22"/>
      <c r="K107" s="22"/>
      <c r="N107" s="22"/>
    </row>
    <row r="108">
      <c r="E108" s="22"/>
      <c r="K108" s="22"/>
      <c r="N108" s="22"/>
    </row>
    <row r="109">
      <c r="E109" s="22"/>
      <c r="K109" s="22"/>
      <c r="N109" s="22"/>
    </row>
    <row r="110">
      <c r="E110" s="22"/>
      <c r="K110" s="22"/>
      <c r="N110" s="22"/>
    </row>
    <row r="111">
      <c r="E111" s="22"/>
      <c r="K111" s="22"/>
      <c r="N111" s="22"/>
    </row>
    <row r="112">
      <c r="E112" s="22"/>
      <c r="K112" s="22"/>
      <c r="N112" s="22"/>
    </row>
    <row r="113">
      <c r="E113" s="22"/>
      <c r="K113" s="22"/>
      <c r="N113" s="22"/>
    </row>
    <row r="114">
      <c r="E114" s="22"/>
      <c r="K114" s="22"/>
      <c r="N114" s="22"/>
    </row>
    <row r="115">
      <c r="E115" s="22"/>
      <c r="K115" s="22"/>
      <c r="N115" s="22"/>
    </row>
    <row r="116">
      <c r="E116" s="22"/>
      <c r="K116" s="22"/>
      <c r="N116" s="22"/>
    </row>
    <row r="117">
      <c r="E117" s="22"/>
      <c r="K117" s="22"/>
      <c r="N117" s="22"/>
    </row>
    <row r="118">
      <c r="E118" s="22"/>
      <c r="K118" s="22"/>
      <c r="N118" s="22"/>
    </row>
    <row r="119">
      <c r="E119" s="22"/>
      <c r="K119" s="22"/>
      <c r="N119" s="22"/>
    </row>
    <row r="120">
      <c r="E120" s="22"/>
      <c r="K120" s="22"/>
      <c r="N120" s="22"/>
    </row>
    <row r="121">
      <c r="E121" s="22"/>
      <c r="K121" s="22"/>
      <c r="N121" s="22"/>
    </row>
    <row r="122">
      <c r="E122" s="22"/>
      <c r="K122" s="22"/>
      <c r="N122" s="22"/>
    </row>
    <row r="123">
      <c r="E123" s="22"/>
      <c r="K123" s="22"/>
      <c r="N123" s="22"/>
    </row>
    <row r="124">
      <c r="E124" s="22"/>
      <c r="K124" s="22"/>
      <c r="N124" s="22"/>
    </row>
    <row r="125">
      <c r="E125" s="22"/>
      <c r="K125" s="22"/>
      <c r="N125" s="22"/>
    </row>
    <row r="126">
      <c r="E126" s="22"/>
      <c r="K126" s="22"/>
      <c r="N126" s="22"/>
    </row>
    <row r="127">
      <c r="E127" s="22"/>
      <c r="K127" s="22"/>
      <c r="N127" s="22"/>
    </row>
    <row r="128">
      <c r="E128" s="22"/>
      <c r="K128" s="22"/>
      <c r="N128" s="22"/>
    </row>
    <row r="129">
      <c r="E129" s="22"/>
      <c r="K129" s="22"/>
      <c r="N129" s="22"/>
    </row>
    <row r="130">
      <c r="E130" s="22"/>
      <c r="K130" s="22"/>
      <c r="N130" s="22"/>
    </row>
    <row r="131">
      <c r="E131" s="22"/>
      <c r="K131" s="22"/>
      <c r="N131" s="22"/>
    </row>
    <row r="132">
      <c r="E132" s="22"/>
      <c r="K132" s="22"/>
      <c r="N132" s="22"/>
    </row>
    <row r="133">
      <c r="E133" s="22"/>
      <c r="K133" s="22"/>
      <c r="N133" s="22"/>
    </row>
    <row r="134">
      <c r="E134" s="22"/>
      <c r="K134" s="22"/>
      <c r="N134" s="22"/>
    </row>
    <row r="135">
      <c r="E135" s="22"/>
      <c r="K135" s="22"/>
      <c r="N135" s="22"/>
    </row>
    <row r="136">
      <c r="E136" s="22"/>
      <c r="K136" s="22"/>
      <c r="N136" s="22"/>
    </row>
    <row r="137">
      <c r="E137" s="22"/>
      <c r="K137" s="22"/>
      <c r="N137" s="22"/>
    </row>
    <row r="138">
      <c r="E138" s="22"/>
      <c r="K138" s="22"/>
      <c r="N138" s="22"/>
    </row>
    <row r="139">
      <c r="E139" s="22"/>
      <c r="K139" s="22"/>
      <c r="N139" s="22"/>
    </row>
    <row r="140">
      <c r="E140" s="22"/>
      <c r="K140" s="22"/>
      <c r="N140" s="22"/>
    </row>
    <row r="141">
      <c r="E141" s="22"/>
      <c r="K141" s="22"/>
      <c r="N141" s="22"/>
    </row>
    <row r="142">
      <c r="E142" s="22"/>
      <c r="K142" s="22"/>
      <c r="N142" s="22"/>
    </row>
    <row r="143">
      <c r="E143" s="22"/>
      <c r="K143" s="22"/>
      <c r="N143" s="22"/>
    </row>
    <row r="144">
      <c r="E144" s="22"/>
      <c r="K144" s="22"/>
      <c r="N144" s="22"/>
    </row>
    <row r="145">
      <c r="E145" s="22"/>
      <c r="K145" s="22"/>
      <c r="N145" s="22"/>
    </row>
    <row r="146">
      <c r="E146" s="22"/>
      <c r="K146" s="22"/>
      <c r="N146" s="22"/>
    </row>
    <row r="147">
      <c r="E147" s="22"/>
      <c r="K147" s="22"/>
      <c r="N147" s="22"/>
    </row>
    <row r="148">
      <c r="E148" s="22"/>
      <c r="K148" s="22"/>
      <c r="N148" s="22"/>
    </row>
    <row r="149">
      <c r="E149" s="22"/>
      <c r="K149" s="22"/>
      <c r="N149" s="22"/>
    </row>
    <row r="150">
      <c r="E150" s="22"/>
      <c r="K150" s="22"/>
      <c r="N150" s="22"/>
    </row>
    <row r="151">
      <c r="E151" s="22"/>
      <c r="K151" s="22"/>
      <c r="N151" s="22"/>
    </row>
    <row r="152">
      <c r="E152" s="22"/>
      <c r="K152" s="22"/>
      <c r="N152" s="22"/>
    </row>
    <row r="153">
      <c r="E153" s="22"/>
      <c r="K153" s="22"/>
      <c r="N153" s="22"/>
    </row>
    <row r="154">
      <c r="E154" s="22"/>
      <c r="K154" s="22"/>
      <c r="N154" s="22"/>
    </row>
    <row r="155">
      <c r="E155" s="22"/>
      <c r="K155" s="22"/>
      <c r="N155" s="22"/>
    </row>
    <row r="156">
      <c r="E156" s="22"/>
      <c r="K156" s="22"/>
      <c r="N156" s="22"/>
    </row>
    <row r="157">
      <c r="E157" s="22"/>
      <c r="K157" s="22"/>
      <c r="N157" s="22"/>
    </row>
    <row r="158">
      <c r="E158" s="22"/>
      <c r="K158" s="22"/>
      <c r="N158" s="22"/>
    </row>
    <row r="159">
      <c r="E159" s="22"/>
      <c r="K159" s="22"/>
      <c r="N159" s="22"/>
    </row>
    <row r="160">
      <c r="E160" s="22"/>
      <c r="K160" s="22"/>
      <c r="N160" s="22"/>
    </row>
    <row r="161">
      <c r="E161" s="22"/>
      <c r="K161" s="22"/>
      <c r="N161" s="22"/>
    </row>
    <row r="162">
      <c r="E162" s="22"/>
      <c r="K162" s="22"/>
      <c r="N162" s="22"/>
    </row>
    <row r="163">
      <c r="E163" s="22"/>
      <c r="K163" s="22"/>
      <c r="N163" s="22"/>
    </row>
    <row r="164">
      <c r="E164" s="22"/>
      <c r="K164" s="22"/>
      <c r="N164" s="22"/>
    </row>
    <row r="165">
      <c r="E165" s="22"/>
      <c r="K165" s="22"/>
      <c r="N165" s="22"/>
    </row>
    <row r="166">
      <c r="E166" s="22"/>
      <c r="K166" s="22"/>
      <c r="N166" s="22"/>
    </row>
    <row r="167">
      <c r="E167" s="22"/>
      <c r="K167" s="22"/>
      <c r="N167" s="22"/>
    </row>
    <row r="168">
      <c r="E168" s="22"/>
      <c r="K168" s="22"/>
      <c r="N168" s="22"/>
    </row>
    <row r="169">
      <c r="E169" s="22"/>
      <c r="K169" s="22"/>
      <c r="N169" s="22"/>
    </row>
    <row r="170">
      <c r="E170" s="22"/>
      <c r="K170" s="22"/>
      <c r="N170" s="22"/>
    </row>
    <row r="171">
      <c r="E171" s="22"/>
      <c r="K171" s="22"/>
      <c r="N171" s="22"/>
    </row>
    <row r="172">
      <c r="E172" s="22"/>
      <c r="K172" s="22"/>
      <c r="N172" s="22"/>
    </row>
    <row r="173">
      <c r="E173" s="22"/>
      <c r="K173" s="22"/>
      <c r="N173" s="22"/>
    </row>
    <row r="174">
      <c r="E174" s="22"/>
      <c r="K174" s="22"/>
      <c r="N174" s="22"/>
    </row>
    <row r="175">
      <c r="E175" s="22"/>
      <c r="K175" s="22"/>
      <c r="N175" s="22"/>
    </row>
    <row r="176">
      <c r="E176" s="22"/>
      <c r="K176" s="22"/>
      <c r="N176" s="22"/>
    </row>
    <row r="177">
      <c r="E177" s="22"/>
      <c r="K177" s="22"/>
      <c r="N177" s="22"/>
    </row>
    <row r="178">
      <c r="E178" s="22"/>
      <c r="K178" s="22"/>
      <c r="N178" s="22"/>
    </row>
    <row r="179">
      <c r="E179" s="22"/>
      <c r="K179" s="22"/>
      <c r="N179" s="22"/>
    </row>
    <row r="180">
      <c r="E180" s="22"/>
      <c r="K180" s="22"/>
      <c r="N180" s="22"/>
    </row>
    <row r="181">
      <c r="E181" s="22"/>
      <c r="K181" s="22"/>
      <c r="N181" s="22"/>
    </row>
    <row r="182">
      <c r="E182" s="22"/>
      <c r="K182" s="22"/>
      <c r="N182" s="22"/>
    </row>
    <row r="183">
      <c r="E183" s="22"/>
      <c r="K183" s="22"/>
      <c r="N183" s="22"/>
    </row>
    <row r="184">
      <c r="E184" s="22"/>
      <c r="K184" s="22"/>
      <c r="N184" s="22"/>
    </row>
    <row r="185">
      <c r="E185" s="22"/>
      <c r="K185" s="22"/>
      <c r="N185" s="22"/>
    </row>
    <row r="186">
      <c r="E186" s="22"/>
      <c r="K186" s="22"/>
      <c r="N186" s="22"/>
    </row>
    <row r="187">
      <c r="E187" s="22"/>
      <c r="K187" s="22"/>
      <c r="N187" s="22"/>
    </row>
    <row r="188">
      <c r="E188" s="22"/>
      <c r="K188" s="22"/>
      <c r="N188" s="22"/>
    </row>
    <row r="189">
      <c r="E189" s="22"/>
      <c r="K189" s="22"/>
      <c r="N189" s="22"/>
    </row>
    <row r="190">
      <c r="E190" s="22"/>
      <c r="K190" s="22"/>
      <c r="N190" s="22"/>
    </row>
    <row r="191">
      <c r="E191" s="22"/>
      <c r="K191" s="22"/>
      <c r="N191" s="22"/>
    </row>
    <row r="192">
      <c r="E192" s="22"/>
      <c r="K192" s="22"/>
      <c r="N192" s="22"/>
    </row>
    <row r="193">
      <c r="E193" s="22"/>
      <c r="K193" s="22"/>
      <c r="N193" s="22"/>
    </row>
    <row r="194">
      <c r="E194" s="22"/>
      <c r="K194" s="22"/>
      <c r="N194" s="22"/>
    </row>
    <row r="195">
      <c r="E195" s="22"/>
      <c r="K195" s="22"/>
      <c r="N195" s="22"/>
    </row>
    <row r="196">
      <c r="E196" s="22"/>
      <c r="K196" s="22"/>
      <c r="N196" s="22"/>
    </row>
    <row r="197">
      <c r="E197" s="22"/>
      <c r="K197" s="22"/>
      <c r="N197" s="22"/>
    </row>
    <row r="198">
      <c r="E198" s="22"/>
      <c r="K198" s="22"/>
      <c r="N198" s="22"/>
    </row>
    <row r="199">
      <c r="E199" s="22"/>
      <c r="K199" s="22"/>
      <c r="N199" s="22"/>
    </row>
    <row r="200">
      <c r="E200" s="22"/>
      <c r="K200" s="22"/>
      <c r="N200" s="22"/>
    </row>
    <row r="201">
      <c r="E201" s="22"/>
      <c r="K201" s="22"/>
      <c r="N201" s="22"/>
    </row>
    <row r="202">
      <c r="E202" s="22"/>
      <c r="K202" s="22"/>
      <c r="N202" s="22"/>
    </row>
    <row r="203">
      <c r="E203" s="22"/>
      <c r="K203" s="22"/>
      <c r="N203" s="22"/>
    </row>
    <row r="204">
      <c r="E204" s="22"/>
      <c r="K204" s="22"/>
      <c r="N204" s="22"/>
    </row>
    <row r="205">
      <c r="E205" s="22"/>
      <c r="K205" s="22"/>
      <c r="N205" s="22"/>
    </row>
    <row r="206">
      <c r="E206" s="22"/>
      <c r="K206" s="22"/>
      <c r="N206" s="22"/>
    </row>
    <row r="207">
      <c r="E207" s="22"/>
      <c r="K207" s="22"/>
      <c r="N207" s="22"/>
    </row>
    <row r="208">
      <c r="E208" s="22"/>
      <c r="K208" s="22"/>
      <c r="N208" s="22"/>
    </row>
    <row r="209">
      <c r="E209" s="22"/>
      <c r="K209" s="22"/>
      <c r="N209" s="22"/>
    </row>
    <row r="210">
      <c r="E210" s="22"/>
      <c r="K210" s="22"/>
      <c r="N210" s="22"/>
    </row>
    <row r="211">
      <c r="E211" s="22"/>
      <c r="K211" s="22"/>
      <c r="N211" s="22"/>
    </row>
    <row r="212">
      <c r="E212" s="22"/>
      <c r="K212" s="22"/>
      <c r="N212" s="22"/>
    </row>
    <row r="213">
      <c r="E213" s="22"/>
      <c r="K213" s="22"/>
      <c r="N213" s="22"/>
    </row>
    <row r="214">
      <c r="E214" s="22"/>
      <c r="K214" s="22"/>
      <c r="N214" s="22"/>
    </row>
    <row r="215">
      <c r="E215" s="22"/>
      <c r="K215" s="22"/>
      <c r="N215" s="22"/>
    </row>
    <row r="216">
      <c r="E216" s="22"/>
      <c r="K216" s="22"/>
      <c r="N216" s="22"/>
    </row>
    <row r="217">
      <c r="E217" s="22"/>
      <c r="K217" s="22"/>
      <c r="N217" s="22"/>
    </row>
    <row r="218">
      <c r="E218" s="22"/>
      <c r="K218" s="22"/>
      <c r="N218" s="22"/>
    </row>
    <row r="219">
      <c r="E219" s="22"/>
      <c r="K219" s="22"/>
      <c r="N219" s="22"/>
    </row>
    <row r="220">
      <c r="E220" s="22"/>
      <c r="K220" s="22"/>
      <c r="N220" s="22"/>
    </row>
    <row r="221">
      <c r="E221" s="22"/>
      <c r="K221" s="22"/>
      <c r="N221" s="22"/>
    </row>
    <row r="222">
      <c r="E222" s="22"/>
      <c r="K222" s="22"/>
      <c r="N222" s="22"/>
    </row>
    <row r="223">
      <c r="E223" s="22"/>
      <c r="K223" s="22"/>
      <c r="N223" s="22"/>
    </row>
    <row r="224">
      <c r="E224" s="22"/>
      <c r="K224" s="22"/>
      <c r="N224" s="22"/>
    </row>
    <row r="225">
      <c r="E225" s="22"/>
      <c r="K225" s="22"/>
      <c r="N225" s="22"/>
    </row>
    <row r="226">
      <c r="E226" s="22"/>
      <c r="K226" s="22"/>
      <c r="N226" s="22"/>
    </row>
    <row r="227">
      <c r="E227" s="22"/>
      <c r="K227" s="22"/>
      <c r="N227" s="22"/>
    </row>
    <row r="228">
      <c r="E228" s="22"/>
      <c r="K228" s="22"/>
      <c r="N228" s="22"/>
    </row>
    <row r="229">
      <c r="E229" s="22"/>
      <c r="K229" s="22"/>
      <c r="N229" s="22"/>
    </row>
    <row r="230">
      <c r="E230" s="22"/>
      <c r="K230" s="22"/>
      <c r="N230" s="22"/>
    </row>
    <row r="231">
      <c r="E231" s="22"/>
      <c r="K231" s="22"/>
      <c r="N231" s="22"/>
    </row>
    <row r="232">
      <c r="E232" s="22"/>
      <c r="K232" s="22"/>
      <c r="N232" s="22"/>
    </row>
    <row r="233">
      <c r="E233" s="22"/>
      <c r="K233" s="22"/>
      <c r="N233" s="22"/>
    </row>
    <row r="234">
      <c r="E234" s="22"/>
      <c r="K234" s="22"/>
      <c r="N234" s="22"/>
    </row>
    <row r="235">
      <c r="E235" s="22"/>
      <c r="K235" s="22"/>
      <c r="N235" s="22"/>
    </row>
    <row r="236">
      <c r="E236" s="22"/>
      <c r="K236" s="22"/>
      <c r="N236" s="22"/>
    </row>
    <row r="237">
      <c r="E237" s="22"/>
      <c r="K237" s="22"/>
      <c r="N237" s="22"/>
    </row>
    <row r="238">
      <c r="E238" s="22"/>
      <c r="K238" s="22"/>
      <c r="N238" s="22"/>
    </row>
    <row r="239">
      <c r="E239" s="22"/>
      <c r="K239" s="22"/>
      <c r="N239" s="22"/>
    </row>
    <row r="240">
      <c r="E240" s="22"/>
      <c r="K240" s="22"/>
      <c r="N240" s="22"/>
    </row>
    <row r="241">
      <c r="E241" s="22"/>
      <c r="K241" s="22"/>
      <c r="N241" s="22"/>
    </row>
    <row r="242">
      <c r="E242" s="22"/>
      <c r="K242" s="22"/>
      <c r="N242" s="22"/>
    </row>
    <row r="243">
      <c r="E243" s="22"/>
      <c r="K243" s="22"/>
      <c r="N243" s="22"/>
    </row>
    <row r="244">
      <c r="E244" s="22"/>
      <c r="K244" s="22"/>
      <c r="N244" s="22"/>
    </row>
    <row r="245">
      <c r="E245" s="22"/>
      <c r="K245" s="22"/>
      <c r="N245" s="22"/>
    </row>
    <row r="246">
      <c r="E246" s="22"/>
      <c r="K246" s="22"/>
      <c r="N246" s="22"/>
    </row>
    <row r="247">
      <c r="E247" s="22"/>
      <c r="K247" s="22"/>
      <c r="N247" s="22"/>
    </row>
    <row r="248">
      <c r="E248" s="22"/>
      <c r="K248" s="22"/>
      <c r="N248" s="22"/>
    </row>
    <row r="249">
      <c r="E249" s="22"/>
      <c r="K249" s="22"/>
      <c r="N249" s="22"/>
    </row>
    <row r="250">
      <c r="E250" s="22"/>
      <c r="K250" s="22"/>
      <c r="N250" s="22"/>
    </row>
    <row r="251">
      <c r="E251" s="22"/>
      <c r="K251" s="22"/>
      <c r="N251" s="22"/>
    </row>
    <row r="252">
      <c r="E252" s="22"/>
      <c r="K252" s="22"/>
      <c r="N252" s="22"/>
    </row>
    <row r="253">
      <c r="E253" s="22"/>
      <c r="K253" s="22"/>
      <c r="N253" s="22"/>
    </row>
    <row r="254">
      <c r="E254" s="22"/>
      <c r="K254" s="22"/>
      <c r="N254" s="22"/>
    </row>
    <row r="255">
      <c r="E255" s="22"/>
      <c r="K255" s="22"/>
      <c r="N255" s="22"/>
    </row>
    <row r="256">
      <c r="E256" s="22"/>
      <c r="K256" s="22"/>
      <c r="N256" s="22"/>
    </row>
    <row r="257">
      <c r="E257" s="22"/>
      <c r="K257" s="22"/>
      <c r="N257" s="22"/>
    </row>
    <row r="258">
      <c r="E258" s="22"/>
      <c r="K258" s="22"/>
      <c r="N258" s="22"/>
    </row>
    <row r="259">
      <c r="E259" s="22"/>
      <c r="K259" s="22"/>
      <c r="N259" s="22"/>
    </row>
    <row r="260">
      <c r="E260" s="22"/>
      <c r="K260" s="22"/>
      <c r="N260" s="22"/>
    </row>
    <row r="261">
      <c r="E261" s="22"/>
      <c r="K261" s="22"/>
      <c r="N261" s="22"/>
    </row>
    <row r="262">
      <c r="E262" s="22"/>
      <c r="K262" s="22"/>
      <c r="N262" s="22"/>
    </row>
    <row r="263">
      <c r="E263" s="22"/>
      <c r="K263" s="22"/>
      <c r="N263" s="22"/>
    </row>
    <row r="264">
      <c r="E264" s="22"/>
      <c r="K264" s="22"/>
      <c r="N264" s="22"/>
    </row>
    <row r="265">
      <c r="E265" s="22"/>
      <c r="K265" s="22"/>
      <c r="N265" s="22"/>
    </row>
    <row r="266">
      <c r="E266" s="22"/>
      <c r="K266" s="22"/>
      <c r="N266" s="22"/>
    </row>
    <row r="267">
      <c r="E267" s="22"/>
      <c r="K267" s="22"/>
      <c r="N267" s="22"/>
    </row>
    <row r="268">
      <c r="E268" s="22"/>
      <c r="K268" s="22"/>
      <c r="N268" s="22"/>
    </row>
    <row r="269">
      <c r="E269" s="22"/>
      <c r="K269" s="22"/>
      <c r="N269" s="22"/>
    </row>
    <row r="270">
      <c r="E270" s="22"/>
      <c r="K270" s="22"/>
      <c r="N270" s="22"/>
    </row>
    <row r="271">
      <c r="E271" s="22"/>
      <c r="K271" s="22"/>
      <c r="N271" s="22"/>
    </row>
    <row r="272">
      <c r="E272" s="22"/>
      <c r="K272" s="22"/>
      <c r="N272" s="22"/>
    </row>
    <row r="273">
      <c r="E273" s="22"/>
      <c r="K273" s="22"/>
      <c r="N273" s="22"/>
    </row>
    <row r="274">
      <c r="E274" s="22"/>
      <c r="K274" s="22"/>
      <c r="N274" s="22"/>
    </row>
    <row r="275">
      <c r="E275" s="22"/>
      <c r="K275" s="22"/>
      <c r="N275" s="22"/>
    </row>
    <row r="276">
      <c r="E276" s="22"/>
      <c r="K276" s="22"/>
      <c r="N276" s="22"/>
    </row>
    <row r="277">
      <c r="E277" s="22"/>
      <c r="K277" s="22"/>
      <c r="N277" s="22"/>
    </row>
    <row r="278">
      <c r="E278" s="22"/>
      <c r="K278" s="22"/>
      <c r="N278" s="22"/>
    </row>
    <row r="279">
      <c r="E279" s="22"/>
      <c r="K279" s="22"/>
      <c r="N279" s="22"/>
    </row>
    <row r="280">
      <c r="E280" s="22"/>
      <c r="K280" s="22"/>
      <c r="N280" s="22"/>
    </row>
    <row r="281">
      <c r="E281" s="22"/>
      <c r="K281" s="22"/>
      <c r="N281" s="22"/>
    </row>
    <row r="282">
      <c r="E282" s="22"/>
      <c r="K282" s="22"/>
      <c r="N282" s="22"/>
    </row>
    <row r="283">
      <c r="E283" s="22"/>
      <c r="K283" s="22"/>
      <c r="N283" s="22"/>
    </row>
    <row r="284">
      <c r="E284" s="22"/>
      <c r="K284" s="22"/>
      <c r="N284" s="22"/>
    </row>
    <row r="285">
      <c r="E285" s="22"/>
      <c r="K285" s="22"/>
      <c r="N285" s="22"/>
    </row>
    <row r="286">
      <c r="E286" s="22"/>
      <c r="K286" s="22"/>
      <c r="N286" s="22"/>
    </row>
    <row r="287">
      <c r="E287" s="22"/>
      <c r="K287" s="22"/>
      <c r="N287" s="22"/>
    </row>
    <row r="288">
      <c r="E288" s="22"/>
      <c r="K288" s="22"/>
      <c r="N288" s="22"/>
    </row>
    <row r="289">
      <c r="E289" s="22"/>
      <c r="K289" s="22"/>
      <c r="N289" s="22"/>
    </row>
    <row r="290">
      <c r="E290" s="22"/>
      <c r="K290" s="22"/>
      <c r="N290" s="22"/>
    </row>
    <row r="291">
      <c r="E291" s="22"/>
      <c r="K291" s="22"/>
      <c r="N291" s="22"/>
    </row>
    <row r="292">
      <c r="E292" s="22"/>
      <c r="K292" s="22"/>
      <c r="N292" s="22"/>
    </row>
    <row r="293">
      <c r="E293" s="22"/>
      <c r="K293" s="22"/>
      <c r="N293" s="22"/>
    </row>
    <row r="294">
      <c r="E294" s="22"/>
      <c r="K294" s="22"/>
      <c r="N294" s="22"/>
    </row>
    <row r="295">
      <c r="E295" s="22"/>
      <c r="K295" s="22"/>
      <c r="N295" s="22"/>
    </row>
    <row r="296">
      <c r="E296" s="22"/>
      <c r="K296" s="22"/>
      <c r="N296" s="22"/>
    </row>
    <row r="297">
      <c r="E297" s="22"/>
      <c r="K297" s="22"/>
      <c r="N297" s="22"/>
    </row>
    <row r="298">
      <c r="E298" s="22"/>
      <c r="K298" s="22"/>
      <c r="N298" s="22"/>
    </row>
    <row r="299">
      <c r="E299" s="22"/>
      <c r="K299" s="22"/>
      <c r="N299" s="22"/>
    </row>
    <row r="300">
      <c r="E300" s="22"/>
      <c r="K300" s="22"/>
      <c r="N300" s="22"/>
    </row>
    <row r="301">
      <c r="E301" s="22"/>
      <c r="K301" s="22"/>
      <c r="N301" s="22"/>
    </row>
    <row r="302">
      <c r="E302" s="22"/>
      <c r="K302" s="22"/>
      <c r="N302" s="22"/>
    </row>
    <row r="303">
      <c r="E303" s="22"/>
      <c r="K303" s="22"/>
      <c r="N303" s="22"/>
    </row>
    <row r="304">
      <c r="E304" s="22"/>
      <c r="K304" s="22"/>
      <c r="N304" s="22"/>
    </row>
    <row r="305">
      <c r="E305" s="22"/>
      <c r="K305" s="22"/>
      <c r="N305" s="22"/>
    </row>
    <row r="306">
      <c r="E306" s="22"/>
      <c r="K306" s="22"/>
      <c r="N306" s="22"/>
    </row>
    <row r="307">
      <c r="E307" s="22"/>
      <c r="K307" s="22"/>
      <c r="N307" s="22"/>
    </row>
    <row r="308">
      <c r="E308" s="22"/>
      <c r="K308" s="22"/>
      <c r="N308" s="22"/>
    </row>
    <row r="309">
      <c r="E309" s="22"/>
      <c r="K309" s="22"/>
      <c r="N309" s="22"/>
    </row>
    <row r="310">
      <c r="E310" s="22"/>
      <c r="K310" s="22"/>
      <c r="N310" s="22"/>
    </row>
    <row r="311">
      <c r="E311" s="22"/>
      <c r="K311" s="22"/>
      <c r="N311" s="22"/>
    </row>
    <row r="312">
      <c r="E312" s="22"/>
      <c r="K312" s="22"/>
      <c r="N312" s="22"/>
    </row>
    <row r="313">
      <c r="E313" s="22"/>
      <c r="K313" s="22"/>
      <c r="N313" s="22"/>
    </row>
    <row r="314">
      <c r="E314" s="22"/>
      <c r="K314" s="22"/>
      <c r="N314" s="22"/>
    </row>
    <row r="315">
      <c r="E315" s="22"/>
      <c r="K315" s="22"/>
      <c r="N315" s="22"/>
    </row>
    <row r="316">
      <c r="E316" s="22"/>
      <c r="K316" s="22"/>
      <c r="N316" s="22"/>
    </row>
    <row r="317">
      <c r="E317" s="22"/>
      <c r="K317" s="22"/>
      <c r="N317" s="22"/>
    </row>
    <row r="318">
      <c r="E318" s="22"/>
      <c r="K318" s="22"/>
      <c r="N318" s="22"/>
    </row>
    <row r="319">
      <c r="E319" s="22"/>
      <c r="K319" s="22"/>
      <c r="N319" s="22"/>
    </row>
    <row r="320">
      <c r="E320" s="22"/>
      <c r="K320" s="22"/>
      <c r="N320" s="22"/>
    </row>
    <row r="321">
      <c r="E321" s="22"/>
      <c r="K321" s="22"/>
      <c r="N321" s="22"/>
    </row>
    <row r="322">
      <c r="E322" s="22"/>
      <c r="K322" s="22"/>
      <c r="N322" s="22"/>
    </row>
    <row r="323">
      <c r="E323" s="22"/>
      <c r="K323" s="22"/>
      <c r="N323" s="22"/>
    </row>
    <row r="324">
      <c r="E324" s="22"/>
      <c r="K324" s="22"/>
      <c r="N324" s="22"/>
    </row>
    <row r="325">
      <c r="E325" s="22"/>
      <c r="K325" s="22"/>
      <c r="N325" s="22"/>
    </row>
    <row r="326">
      <c r="E326" s="22"/>
      <c r="K326" s="22"/>
      <c r="N326" s="22"/>
    </row>
    <row r="327">
      <c r="E327" s="22"/>
      <c r="K327" s="22"/>
      <c r="N327" s="22"/>
    </row>
    <row r="328">
      <c r="E328" s="22"/>
      <c r="K328" s="22"/>
      <c r="N328" s="22"/>
    </row>
    <row r="329">
      <c r="E329" s="22"/>
      <c r="K329" s="22"/>
      <c r="N329" s="22"/>
    </row>
    <row r="330">
      <c r="E330" s="22"/>
      <c r="K330" s="22"/>
      <c r="N330" s="22"/>
    </row>
    <row r="331">
      <c r="E331" s="22"/>
      <c r="K331" s="22"/>
      <c r="N331" s="22"/>
    </row>
    <row r="332">
      <c r="E332" s="22"/>
      <c r="K332" s="22"/>
      <c r="N332" s="22"/>
    </row>
    <row r="333">
      <c r="E333" s="22"/>
      <c r="K333" s="22"/>
      <c r="N333" s="22"/>
    </row>
    <row r="334">
      <c r="E334" s="22"/>
      <c r="K334" s="22"/>
      <c r="N334" s="22"/>
    </row>
    <row r="335">
      <c r="E335" s="22"/>
      <c r="K335" s="22"/>
      <c r="N335" s="22"/>
    </row>
    <row r="336">
      <c r="E336" s="22"/>
      <c r="K336" s="22"/>
      <c r="N336" s="22"/>
    </row>
    <row r="337">
      <c r="E337" s="22"/>
      <c r="K337" s="22"/>
      <c r="N337" s="22"/>
    </row>
    <row r="338">
      <c r="E338" s="22"/>
      <c r="K338" s="22"/>
      <c r="N338" s="22"/>
    </row>
    <row r="339">
      <c r="E339" s="22"/>
      <c r="K339" s="22"/>
      <c r="N339" s="22"/>
    </row>
    <row r="340">
      <c r="E340" s="22"/>
      <c r="K340" s="22"/>
      <c r="N340" s="22"/>
    </row>
    <row r="341">
      <c r="E341" s="22"/>
      <c r="K341" s="22"/>
      <c r="N341" s="22"/>
    </row>
    <row r="342">
      <c r="E342" s="22"/>
      <c r="K342" s="22"/>
      <c r="N342" s="22"/>
    </row>
    <row r="343">
      <c r="E343" s="22"/>
      <c r="K343" s="22"/>
      <c r="N343" s="22"/>
    </row>
    <row r="344">
      <c r="E344" s="22"/>
      <c r="K344" s="22"/>
      <c r="N344" s="22"/>
    </row>
    <row r="345">
      <c r="E345" s="22"/>
      <c r="K345" s="22"/>
      <c r="N345" s="22"/>
    </row>
    <row r="346">
      <c r="E346" s="22"/>
      <c r="K346" s="22"/>
      <c r="N346" s="22"/>
    </row>
    <row r="347">
      <c r="E347" s="22"/>
      <c r="K347" s="22"/>
      <c r="N347" s="22"/>
    </row>
    <row r="348">
      <c r="E348" s="22"/>
      <c r="K348" s="22"/>
      <c r="N348" s="22"/>
    </row>
    <row r="349">
      <c r="E349" s="22"/>
      <c r="K349" s="22"/>
      <c r="N349" s="22"/>
    </row>
    <row r="350">
      <c r="E350" s="22"/>
      <c r="K350" s="22"/>
      <c r="N350" s="22"/>
    </row>
    <row r="351">
      <c r="E351" s="22"/>
      <c r="K351" s="22"/>
      <c r="N351" s="22"/>
    </row>
    <row r="352">
      <c r="E352" s="22"/>
      <c r="K352" s="22"/>
      <c r="N352" s="22"/>
    </row>
    <row r="353">
      <c r="E353" s="22"/>
      <c r="K353" s="22"/>
      <c r="N353" s="22"/>
    </row>
    <row r="354">
      <c r="E354" s="22"/>
      <c r="K354" s="22"/>
      <c r="N354" s="22"/>
    </row>
    <row r="355">
      <c r="E355" s="22"/>
      <c r="K355" s="22"/>
      <c r="N355" s="22"/>
    </row>
    <row r="356">
      <c r="E356" s="22"/>
      <c r="K356" s="22"/>
      <c r="N356" s="22"/>
    </row>
    <row r="357">
      <c r="E357" s="22"/>
      <c r="K357" s="22"/>
      <c r="N357" s="22"/>
    </row>
    <row r="358">
      <c r="E358" s="22"/>
      <c r="K358" s="22"/>
      <c r="N358" s="22"/>
    </row>
    <row r="359">
      <c r="E359" s="22"/>
      <c r="K359" s="22"/>
      <c r="N359" s="22"/>
    </row>
    <row r="360">
      <c r="E360" s="22"/>
      <c r="K360" s="22"/>
      <c r="N360" s="22"/>
    </row>
    <row r="361">
      <c r="E361" s="22"/>
      <c r="K361" s="22"/>
      <c r="N361" s="22"/>
    </row>
    <row r="362">
      <c r="E362" s="22"/>
      <c r="K362" s="22"/>
      <c r="N362" s="22"/>
    </row>
    <row r="363">
      <c r="E363" s="22"/>
      <c r="K363" s="22"/>
      <c r="N363" s="22"/>
    </row>
    <row r="364">
      <c r="E364" s="22"/>
      <c r="K364" s="22"/>
      <c r="N364" s="22"/>
    </row>
    <row r="365">
      <c r="E365" s="22"/>
      <c r="K365" s="22"/>
      <c r="N365" s="22"/>
    </row>
    <row r="366">
      <c r="E366" s="22"/>
      <c r="K366" s="22"/>
      <c r="N366" s="22"/>
    </row>
    <row r="367">
      <c r="E367" s="22"/>
      <c r="K367" s="22"/>
      <c r="N367" s="22"/>
    </row>
    <row r="368">
      <c r="E368" s="22"/>
      <c r="K368" s="22"/>
      <c r="N368" s="22"/>
    </row>
    <row r="369">
      <c r="E369" s="22"/>
      <c r="K369" s="22"/>
      <c r="N369" s="22"/>
    </row>
    <row r="370">
      <c r="E370" s="22"/>
      <c r="K370" s="22"/>
      <c r="N370" s="22"/>
    </row>
    <row r="371">
      <c r="E371" s="22"/>
      <c r="K371" s="22"/>
      <c r="N371" s="22"/>
    </row>
    <row r="372">
      <c r="E372" s="22"/>
      <c r="K372" s="22"/>
      <c r="N372" s="22"/>
    </row>
    <row r="373">
      <c r="E373" s="22"/>
      <c r="K373" s="22"/>
      <c r="N373" s="22"/>
    </row>
    <row r="374">
      <c r="E374" s="22"/>
      <c r="K374" s="22"/>
      <c r="N374" s="22"/>
    </row>
    <row r="375">
      <c r="E375" s="22"/>
      <c r="K375" s="22"/>
      <c r="N375" s="22"/>
    </row>
    <row r="376">
      <c r="E376" s="22"/>
      <c r="K376" s="22"/>
      <c r="N376" s="22"/>
    </row>
    <row r="377">
      <c r="E377" s="22"/>
      <c r="K377" s="22"/>
      <c r="N377" s="22"/>
    </row>
    <row r="378">
      <c r="E378" s="22"/>
      <c r="K378" s="22"/>
      <c r="N378" s="22"/>
    </row>
    <row r="379">
      <c r="E379" s="22"/>
      <c r="K379" s="22"/>
      <c r="N379" s="22"/>
    </row>
    <row r="380">
      <c r="E380" s="22"/>
      <c r="K380" s="22"/>
      <c r="N380" s="22"/>
    </row>
    <row r="381">
      <c r="E381" s="22"/>
      <c r="K381" s="22"/>
      <c r="N381" s="22"/>
    </row>
    <row r="382">
      <c r="E382" s="22"/>
      <c r="K382" s="22"/>
      <c r="N382" s="22"/>
    </row>
    <row r="383">
      <c r="E383" s="22"/>
      <c r="K383" s="22"/>
      <c r="N383" s="22"/>
    </row>
    <row r="384">
      <c r="E384" s="22"/>
      <c r="K384" s="22"/>
      <c r="N384" s="22"/>
    </row>
    <row r="385">
      <c r="E385" s="22"/>
      <c r="K385" s="22"/>
      <c r="N385" s="22"/>
    </row>
    <row r="386">
      <c r="E386" s="22"/>
      <c r="K386" s="22"/>
      <c r="N386" s="22"/>
    </row>
    <row r="387">
      <c r="E387" s="22"/>
      <c r="K387" s="22"/>
      <c r="N387" s="22"/>
    </row>
    <row r="388">
      <c r="E388" s="22"/>
      <c r="K388" s="22"/>
      <c r="N388" s="22"/>
    </row>
    <row r="389">
      <c r="E389" s="22"/>
      <c r="K389" s="22"/>
      <c r="N389" s="22"/>
    </row>
    <row r="390">
      <c r="E390" s="22"/>
      <c r="K390" s="22"/>
      <c r="N390" s="22"/>
    </row>
    <row r="391">
      <c r="E391" s="22"/>
      <c r="K391" s="22"/>
      <c r="N391" s="22"/>
    </row>
    <row r="392">
      <c r="E392" s="22"/>
      <c r="K392" s="22"/>
      <c r="N392" s="22"/>
    </row>
    <row r="393">
      <c r="E393" s="22"/>
      <c r="K393" s="22"/>
      <c r="N393" s="22"/>
    </row>
    <row r="394">
      <c r="E394" s="22"/>
      <c r="K394" s="22"/>
      <c r="N394" s="22"/>
    </row>
    <row r="395">
      <c r="E395" s="22"/>
      <c r="K395" s="22"/>
      <c r="N395" s="22"/>
    </row>
    <row r="396">
      <c r="E396" s="22"/>
      <c r="K396" s="22"/>
      <c r="N396" s="22"/>
    </row>
    <row r="397">
      <c r="E397" s="22"/>
      <c r="K397" s="22"/>
      <c r="N397" s="22"/>
    </row>
    <row r="398">
      <c r="E398" s="22"/>
      <c r="K398" s="22"/>
      <c r="N398" s="22"/>
    </row>
    <row r="399">
      <c r="E399" s="22"/>
      <c r="K399" s="22"/>
      <c r="N399" s="22"/>
    </row>
    <row r="400">
      <c r="E400" s="22"/>
      <c r="K400" s="22"/>
      <c r="N400" s="22"/>
    </row>
    <row r="401">
      <c r="E401" s="22"/>
      <c r="K401" s="22"/>
      <c r="N401" s="22"/>
    </row>
    <row r="402">
      <c r="E402" s="22"/>
      <c r="K402" s="22"/>
      <c r="N402" s="22"/>
    </row>
    <row r="403">
      <c r="E403" s="22"/>
      <c r="K403" s="22"/>
      <c r="N403" s="22"/>
    </row>
    <row r="404">
      <c r="E404" s="22"/>
      <c r="K404" s="22"/>
      <c r="N404" s="22"/>
    </row>
    <row r="405">
      <c r="E405" s="22"/>
      <c r="K405" s="22"/>
      <c r="N405" s="22"/>
    </row>
    <row r="406">
      <c r="E406" s="22"/>
      <c r="K406" s="22"/>
      <c r="N406" s="22"/>
    </row>
    <row r="407">
      <c r="E407" s="22"/>
      <c r="K407" s="22"/>
      <c r="N407" s="22"/>
    </row>
    <row r="408">
      <c r="E408" s="22"/>
      <c r="K408" s="22"/>
      <c r="N408" s="22"/>
    </row>
    <row r="409">
      <c r="E409" s="22"/>
      <c r="K409" s="22"/>
      <c r="N409" s="22"/>
    </row>
    <row r="410">
      <c r="E410" s="22"/>
      <c r="K410" s="22"/>
      <c r="N410" s="22"/>
    </row>
    <row r="411">
      <c r="E411" s="22"/>
      <c r="K411" s="22"/>
      <c r="N411" s="22"/>
    </row>
    <row r="412">
      <c r="E412" s="22"/>
      <c r="K412" s="22"/>
      <c r="N412" s="22"/>
    </row>
    <row r="413">
      <c r="E413" s="22"/>
      <c r="K413" s="22"/>
      <c r="N413" s="22"/>
    </row>
    <row r="414">
      <c r="E414" s="22"/>
      <c r="K414" s="22"/>
      <c r="N414" s="22"/>
    </row>
    <row r="415">
      <c r="E415" s="22"/>
      <c r="K415" s="22"/>
      <c r="N415" s="22"/>
    </row>
    <row r="416">
      <c r="E416" s="22"/>
      <c r="K416" s="22"/>
      <c r="N416" s="22"/>
    </row>
    <row r="417">
      <c r="E417" s="22"/>
      <c r="K417" s="22"/>
      <c r="N417" s="22"/>
    </row>
    <row r="418">
      <c r="E418" s="22"/>
      <c r="K418" s="22"/>
      <c r="N418" s="22"/>
    </row>
    <row r="419">
      <c r="E419" s="22"/>
      <c r="K419" s="22"/>
      <c r="N419" s="22"/>
    </row>
    <row r="420">
      <c r="E420" s="22"/>
      <c r="K420" s="22"/>
      <c r="N420" s="22"/>
    </row>
    <row r="421">
      <c r="E421" s="22"/>
      <c r="K421" s="22"/>
      <c r="N421" s="22"/>
    </row>
    <row r="422">
      <c r="E422" s="22"/>
      <c r="K422" s="22"/>
      <c r="N422" s="22"/>
    </row>
    <row r="423">
      <c r="E423" s="22"/>
      <c r="K423" s="22"/>
      <c r="N423" s="22"/>
    </row>
    <row r="424">
      <c r="E424" s="22"/>
      <c r="K424" s="22"/>
      <c r="N424" s="22"/>
    </row>
    <row r="425">
      <c r="E425" s="22"/>
      <c r="K425" s="22"/>
      <c r="N425" s="22"/>
    </row>
    <row r="426">
      <c r="E426" s="22"/>
      <c r="K426" s="22"/>
      <c r="N426" s="22"/>
    </row>
    <row r="427">
      <c r="E427" s="22"/>
      <c r="K427" s="22"/>
      <c r="N427" s="22"/>
    </row>
    <row r="428">
      <c r="E428" s="22"/>
      <c r="K428" s="22"/>
      <c r="N428" s="22"/>
    </row>
    <row r="429">
      <c r="E429" s="22"/>
      <c r="K429" s="22"/>
      <c r="N429" s="22"/>
    </row>
    <row r="430">
      <c r="E430" s="22"/>
      <c r="K430" s="22"/>
      <c r="N430" s="22"/>
    </row>
    <row r="431">
      <c r="E431" s="22"/>
      <c r="K431" s="22"/>
      <c r="N431" s="22"/>
    </row>
    <row r="432">
      <c r="E432" s="22"/>
      <c r="K432" s="22"/>
      <c r="N432" s="22"/>
    </row>
    <row r="433">
      <c r="E433" s="22"/>
      <c r="K433" s="22"/>
      <c r="N433" s="22"/>
    </row>
    <row r="434">
      <c r="E434" s="22"/>
      <c r="K434" s="22"/>
      <c r="N434" s="22"/>
    </row>
    <row r="435">
      <c r="E435" s="22"/>
      <c r="K435" s="22"/>
      <c r="N435" s="22"/>
    </row>
    <row r="436">
      <c r="E436" s="22"/>
      <c r="K436" s="22"/>
      <c r="N436" s="22"/>
    </row>
    <row r="437">
      <c r="E437" s="22"/>
      <c r="K437" s="22"/>
      <c r="N437" s="22"/>
    </row>
    <row r="438">
      <c r="E438" s="22"/>
      <c r="K438" s="22"/>
      <c r="N438" s="22"/>
    </row>
    <row r="439">
      <c r="E439" s="22"/>
      <c r="K439" s="22"/>
      <c r="N439" s="22"/>
    </row>
    <row r="440">
      <c r="E440" s="22"/>
      <c r="K440" s="22"/>
      <c r="N440" s="22"/>
    </row>
    <row r="441">
      <c r="E441" s="22"/>
      <c r="K441" s="22"/>
      <c r="N441" s="22"/>
    </row>
    <row r="442">
      <c r="E442" s="22"/>
      <c r="K442" s="22"/>
      <c r="N442" s="22"/>
    </row>
    <row r="443">
      <c r="E443" s="22"/>
      <c r="K443" s="22"/>
      <c r="N443" s="22"/>
    </row>
    <row r="444">
      <c r="E444" s="22"/>
      <c r="K444" s="22"/>
      <c r="N444" s="22"/>
    </row>
    <row r="445">
      <c r="E445" s="22"/>
      <c r="K445" s="22"/>
      <c r="N445" s="22"/>
    </row>
    <row r="446">
      <c r="E446" s="22"/>
      <c r="K446" s="22"/>
      <c r="N446" s="22"/>
    </row>
    <row r="447">
      <c r="E447" s="22"/>
      <c r="K447" s="22"/>
      <c r="N447" s="22"/>
    </row>
    <row r="448">
      <c r="E448" s="22"/>
      <c r="K448" s="22"/>
      <c r="N448" s="22"/>
    </row>
    <row r="449">
      <c r="E449" s="22"/>
      <c r="K449" s="22"/>
      <c r="N449" s="22"/>
    </row>
    <row r="450">
      <c r="E450" s="22"/>
      <c r="K450" s="22"/>
      <c r="N450" s="22"/>
    </row>
    <row r="451">
      <c r="E451" s="22"/>
      <c r="K451" s="22"/>
      <c r="N451" s="22"/>
    </row>
    <row r="452">
      <c r="E452" s="22"/>
      <c r="K452" s="22"/>
      <c r="N452" s="22"/>
    </row>
    <row r="453">
      <c r="E453" s="22"/>
      <c r="K453" s="22"/>
      <c r="N453" s="22"/>
    </row>
    <row r="454">
      <c r="E454" s="22"/>
      <c r="K454" s="22"/>
      <c r="N454" s="22"/>
    </row>
    <row r="455">
      <c r="E455" s="22"/>
      <c r="K455" s="22"/>
      <c r="N455" s="22"/>
    </row>
    <row r="456">
      <c r="E456" s="22"/>
      <c r="K456" s="22"/>
      <c r="N456" s="22"/>
    </row>
    <row r="457">
      <c r="E457" s="22"/>
      <c r="K457" s="22"/>
      <c r="N457" s="22"/>
    </row>
    <row r="458">
      <c r="E458" s="22"/>
      <c r="K458" s="22"/>
      <c r="N458" s="22"/>
    </row>
    <row r="459">
      <c r="E459" s="22"/>
      <c r="K459" s="22"/>
      <c r="N459" s="22"/>
    </row>
    <row r="460">
      <c r="E460" s="22"/>
      <c r="K460" s="22"/>
      <c r="N460" s="22"/>
    </row>
    <row r="461">
      <c r="E461" s="22"/>
      <c r="K461" s="22"/>
      <c r="N461" s="22"/>
    </row>
    <row r="462">
      <c r="E462" s="22"/>
      <c r="K462" s="22"/>
      <c r="N462" s="22"/>
    </row>
    <row r="463">
      <c r="E463" s="22"/>
      <c r="K463" s="22"/>
      <c r="N463" s="22"/>
    </row>
    <row r="464">
      <c r="E464" s="22"/>
      <c r="K464" s="22"/>
      <c r="N464" s="22"/>
    </row>
    <row r="465">
      <c r="E465" s="22"/>
      <c r="K465" s="22"/>
      <c r="N465" s="22"/>
    </row>
    <row r="466">
      <c r="E466" s="22"/>
      <c r="K466" s="22"/>
      <c r="N466" s="22"/>
    </row>
    <row r="467">
      <c r="E467" s="22"/>
      <c r="K467" s="22"/>
      <c r="N467" s="22"/>
    </row>
    <row r="468">
      <c r="E468" s="22"/>
      <c r="K468" s="22"/>
      <c r="N468" s="22"/>
    </row>
    <row r="469">
      <c r="E469" s="22"/>
      <c r="K469" s="22"/>
      <c r="N469" s="22"/>
    </row>
    <row r="470">
      <c r="E470" s="22"/>
      <c r="K470" s="22"/>
      <c r="N470" s="22"/>
    </row>
    <row r="471">
      <c r="E471" s="22"/>
      <c r="K471" s="22"/>
      <c r="N471" s="22"/>
    </row>
    <row r="472">
      <c r="E472" s="22"/>
      <c r="K472" s="22"/>
      <c r="N472" s="22"/>
    </row>
    <row r="473">
      <c r="E473" s="22"/>
      <c r="K473" s="22"/>
      <c r="N473" s="22"/>
    </row>
    <row r="474">
      <c r="E474" s="22"/>
      <c r="K474" s="22"/>
      <c r="N474" s="22"/>
    </row>
    <row r="475">
      <c r="E475" s="22"/>
      <c r="K475" s="22"/>
      <c r="N475" s="22"/>
    </row>
    <row r="476">
      <c r="E476" s="22"/>
      <c r="K476" s="22"/>
      <c r="N476" s="22"/>
    </row>
    <row r="477">
      <c r="E477" s="22"/>
      <c r="K477" s="22"/>
      <c r="N477" s="22"/>
    </row>
    <row r="478">
      <c r="E478" s="22"/>
      <c r="K478" s="22"/>
      <c r="N478" s="22"/>
    </row>
    <row r="479">
      <c r="E479" s="22"/>
      <c r="K479" s="22"/>
      <c r="N479" s="22"/>
    </row>
    <row r="480">
      <c r="E480" s="22"/>
      <c r="K480" s="22"/>
      <c r="N480" s="22"/>
    </row>
    <row r="481">
      <c r="E481" s="22"/>
      <c r="K481" s="22"/>
      <c r="N481" s="22"/>
    </row>
    <row r="482">
      <c r="E482" s="22"/>
      <c r="K482" s="22"/>
      <c r="N482" s="22"/>
    </row>
    <row r="483">
      <c r="E483" s="22"/>
      <c r="K483" s="22"/>
      <c r="N483" s="22"/>
    </row>
    <row r="484">
      <c r="E484" s="22"/>
      <c r="K484" s="22"/>
      <c r="N484" s="22"/>
    </row>
    <row r="485">
      <c r="E485" s="22"/>
      <c r="K485" s="22"/>
      <c r="N485" s="22"/>
    </row>
    <row r="486">
      <c r="E486" s="22"/>
      <c r="K486" s="22"/>
      <c r="N486" s="22"/>
    </row>
    <row r="487">
      <c r="E487" s="22"/>
      <c r="K487" s="22"/>
      <c r="N487" s="22"/>
    </row>
    <row r="488">
      <c r="E488" s="22"/>
      <c r="K488" s="22"/>
      <c r="N488" s="22"/>
    </row>
    <row r="489">
      <c r="E489" s="22"/>
      <c r="K489" s="22"/>
      <c r="N489" s="22"/>
    </row>
    <row r="490">
      <c r="E490" s="22"/>
      <c r="K490" s="22"/>
      <c r="N490" s="22"/>
    </row>
    <row r="491">
      <c r="E491" s="22"/>
      <c r="K491" s="22"/>
      <c r="N491" s="22"/>
    </row>
    <row r="492">
      <c r="E492" s="22"/>
      <c r="K492" s="22"/>
      <c r="N492" s="22"/>
    </row>
    <row r="493">
      <c r="E493" s="22"/>
      <c r="K493" s="22"/>
      <c r="N493" s="22"/>
    </row>
    <row r="494">
      <c r="E494" s="22"/>
      <c r="K494" s="22"/>
      <c r="N494" s="22"/>
    </row>
    <row r="495">
      <c r="E495" s="22"/>
      <c r="K495" s="22"/>
      <c r="N495" s="22"/>
    </row>
    <row r="496">
      <c r="E496" s="22"/>
      <c r="K496" s="22"/>
      <c r="N496" s="22"/>
    </row>
    <row r="497">
      <c r="E497" s="22"/>
      <c r="K497" s="22"/>
      <c r="N497" s="22"/>
    </row>
    <row r="498">
      <c r="E498" s="22"/>
      <c r="K498" s="22"/>
      <c r="N498" s="22"/>
    </row>
    <row r="499">
      <c r="E499" s="22"/>
      <c r="K499" s="22"/>
      <c r="N499" s="22"/>
    </row>
    <row r="500">
      <c r="E500" s="22"/>
      <c r="K500" s="22"/>
      <c r="N500" s="22"/>
    </row>
    <row r="501">
      <c r="E501" s="22"/>
      <c r="K501" s="22"/>
      <c r="N501" s="22"/>
    </row>
    <row r="502">
      <c r="E502" s="22"/>
      <c r="K502" s="22"/>
      <c r="N502" s="22"/>
    </row>
    <row r="503">
      <c r="E503" s="22"/>
      <c r="K503" s="22"/>
      <c r="N503" s="22"/>
    </row>
    <row r="504">
      <c r="E504" s="22"/>
      <c r="K504" s="22"/>
      <c r="N504" s="22"/>
    </row>
    <row r="505">
      <c r="E505" s="22"/>
      <c r="K505" s="22"/>
      <c r="N505" s="22"/>
    </row>
    <row r="506">
      <c r="E506" s="22"/>
      <c r="K506" s="22"/>
      <c r="N506" s="22"/>
    </row>
    <row r="507">
      <c r="E507" s="22"/>
      <c r="K507" s="22"/>
      <c r="N507" s="22"/>
    </row>
    <row r="508">
      <c r="E508" s="22"/>
      <c r="K508" s="22"/>
      <c r="N508" s="22"/>
    </row>
    <row r="509">
      <c r="E509" s="22"/>
      <c r="K509" s="22"/>
      <c r="N509" s="22"/>
    </row>
    <row r="510">
      <c r="E510" s="22"/>
      <c r="K510" s="22"/>
      <c r="N510" s="22"/>
    </row>
    <row r="511">
      <c r="E511" s="22"/>
      <c r="K511" s="22"/>
      <c r="N511" s="22"/>
    </row>
    <row r="512">
      <c r="E512" s="22"/>
      <c r="K512" s="22"/>
      <c r="N512" s="22"/>
    </row>
    <row r="513">
      <c r="E513" s="22"/>
      <c r="K513" s="22"/>
      <c r="N513" s="22"/>
    </row>
    <row r="514">
      <c r="E514" s="22"/>
      <c r="K514" s="22"/>
      <c r="N514" s="22"/>
    </row>
    <row r="515">
      <c r="E515" s="22"/>
      <c r="K515" s="22"/>
      <c r="N515" s="22"/>
    </row>
    <row r="516">
      <c r="E516" s="22"/>
      <c r="K516" s="22"/>
      <c r="N516" s="22"/>
    </row>
    <row r="517">
      <c r="E517" s="22"/>
      <c r="K517" s="22"/>
      <c r="N517" s="22"/>
    </row>
    <row r="518">
      <c r="E518" s="22"/>
      <c r="K518" s="22"/>
      <c r="N518" s="22"/>
    </row>
    <row r="519">
      <c r="E519" s="22"/>
      <c r="K519" s="22"/>
      <c r="N519" s="22"/>
    </row>
    <row r="520">
      <c r="E520" s="22"/>
      <c r="K520" s="22"/>
      <c r="N520" s="22"/>
    </row>
    <row r="521">
      <c r="E521" s="22"/>
      <c r="K521" s="22"/>
      <c r="N521" s="22"/>
    </row>
    <row r="522">
      <c r="E522" s="22"/>
      <c r="K522" s="22"/>
      <c r="N522" s="22"/>
    </row>
    <row r="523">
      <c r="E523" s="22"/>
      <c r="K523" s="22"/>
      <c r="N523" s="22"/>
    </row>
    <row r="524">
      <c r="E524" s="22"/>
      <c r="K524" s="22"/>
      <c r="N524" s="22"/>
    </row>
    <row r="525">
      <c r="E525" s="22"/>
      <c r="K525" s="22"/>
      <c r="N525" s="22"/>
    </row>
    <row r="526">
      <c r="E526" s="22"/>
      <c r="K526" s="22"/>
      <c r="N526" s="22"/>
    </row>
    <row r="527">
      <c r="E527" s="22"/>
      <c r="K527" s="22"/>
      <c r="N527" s="22"/>
    </row>
    <row r="528">
      <c r="E528" s="22"/>
      <c r="K528" s="22"/>
      <c r="N528" s="22"/>
    </row>
    <row r="529">
      <c r="E529" s="22"/>
      <c r="K529" s="22"/>
      <c r="N529" s="22"/>
    </row>
    <row r="530">
      <c r="E530" s="22"/>
      <c r="K530" s="22"/>
      <c r="N530" s="22"/>
    </row>
    <row r="531">
      <c r="E531" s="22"/>
      <c r="K531" s="22"/>
      <c r="N531" s="22"/>
    </row>
    <row r="532">
      <c r="E532" s="22"/>
      <c r="K532" s="22"/>
      <c r="N532" s="22"/>
    </row>
    <row r="533">
      <c r="E533" s="22"/>
      <c r="K533" s="22"/>
      <c r="N533" s="22"/>
    </row>
    <row r="534">
      <c r="E534" s="22"/>
      <c r="K534" s="22"/>
      <c r="N534" s="22"/>
    </row>
    <row r="535">
      <c r="E535" s="22"/>
      <c r="K535" s="22"/>
      <c r="N535" s="22"/>
    </row>
    <row r="536">
      <c r="E536" s="22"/>
      <c r="K536" s="22"/>
      <c r="N536" s="22"/>
    </row>
    <row r="537">
      <c r="E537" s="22"/>
      <c r="K537" s="22"/>
      <c r="N537" s="22"/>
    </row>
    <row r="538">
      <c r="E538" s="22"/>
      <c r="K538" s="22"/>
      <c r="N538" s="22"/>
    </row>
    <row r="539">
      <c r="E539" s="22"/>
      <c r="K539" s="22"/>
      <c r="N539" s="22"/>
    </row>
    <row r="540">
      <c r="E540" s="22"/>
      <c r="K540" s="22"/>
      <c r="N540" s="22"/>
    </row>
    <row r="541">
      <c r="E541" s="22"/>
      <c r="K541" s="22"/>
      <c r="N541" s="22"/>
    </row>
    <row r="542">
      <c r="E542" s="22"/>
      <c r="K542" s="22"/>
      <c r="N542" s="22"/>
    </row>
    <row r="543">
      <c r="E543" s="22"/>
      <c r="K543" s="22"/>
      <c r="N543" s="22"/>
    </row>
    <row r="544">
      <c r="E544" s="22"/>
      <c r="K544" s="22"/>
      <c r="N544" s="22"/>
    </row>
    <row r="545">
      <c r="E545" s="22"/>
      <c r="K545" s="22"/>
      <c r="N545" s="22"/>
    </row>
    <row r="546">
      <c r="E546" s="22"/>
      <c r="K546" s="22"/>
      <c r="N546" s="22"/>
    </row>
    <row r="547">
      <c r="E547" s="22"/>
      <c r="K547" s="22"/>
      <c r="N547" s="22"/>
    </row>
    <row r="548">
      <c r="E548" s="22"/>
      <c r="K548" s="22"/>
      <c r="N548" s="22"/>
    </row>
    <row r="549">
      <c r="E549" s="22"/>
      <c r="K549" s="22"/>
      <c r="N549" s="22"/>
    </row>
    <row r="550">
      <c r="E550" s="22"/>
      <c r="K550" s="22"/>
      <c r="N550" s="22"/>
    </row>
    <row r="551">
      <c r="E551" s="22"/>
      <c r="K551" s="22"/>
      <c r="N551" s="22"/>
    </row>
    <row r="552">
      <c r="E552" s="22"/>
      <c r="K552" s="22"/>
      <c r="N552" s="22"/>
    </row>
    <row r="553">
      <c r="E553" s="22"/>
      <c r="K553" s="22"/>
      <c r="N553" s="22"/>
    </row>
    <row r="554">
      <c r="E554" s="22"/>
      <c r="K554" s="22"/>
      <c r="N554" s="22"/>
    </row>
    <row r="555">
      <c r="E555" s="22"/>
      <c r="K555" s="22"/>
      <c r="N555" s="22"/>
    </row>
    <row r="556">
      <c r="E556" s="22"/>
      <c r="K556" s="22"/>
      <c r="N556" s="22"/>
    </row>
    <row r="557">
      <c r="E557" s="22"/>
      <c r="K557" s="22"/>
      <c r="N557" s="22"/>
    </row>
    <row r="558">
      <c r="E558" s="22"/>
      <c r="K558" s="22"/>
      <c r="N558" s="22"/>
    </row>
    <row r="559">
      <c r="E559" s="22"/>
      <c r="K559" s="22"/>
      <c r="N559" s="22"/>
    </row>
    <row r="560">
      <c r="E560" s="22"/>
      <c r="K560" s="22"/>
      <c r="N560" s="22"/>
    </row>
    <row r="561">
      <c r="E561" s="22"/>
      <c r="K561" s="22"/>
      <c r="N561" s="22"/>
    </row>
    <row r="562">
      <c r="E562" s="22"/>
      <c r="K562" s="22"/>
      <c r="N562" s="22"/>
    </row>
    <row r="563">
      <c r="E563" s="22"/>
      <c r="K563" s="22"/>
      <c r="N563" s="22"/>
    </row>
    <row r="564">
      <c r="E564" s="22"/>
      <c r="K564" s="22"/>
      <c r="N564" s="22"/>
    </row>
    <row r="565">
      <c r="E565" s="22"/>
      <c r="K565" s="22"/>
      <c r="N565" s="22"/>
    </row>
    <row r="566">
      <c r="E566" s="22"/>
      <c r="K566" s="22"/>
      <c r="N566" s="22"/>
    </row>
    <row r="567">
      <c r="E567" s="22"/>
      <c r="K567" s="22"/>
      <c r="N567" s="22"/>
    </row>
    <row r="568">
      <c r="E568" s="22"/>
      <c r="K568" s="22"/>
      <c r="N568" s="22"/>
    </row>
    <row r="569">
      <c r="E569" s="22"/>
      <c r="K569" s="22"/>
      <c r="N569" s="22"/>
    </row>
    <row r="570">
      <c r="E570" s="22"/>
      <c r="K570" s="22"/>
      <c r="N570" s="22"/>
    </row>
    <row r="571">
      <c r="E571" s="22"/>
      <c r="K571" s="22"/>
      <c r="N571" s="22"/>
    </row>
    <row r="572">
      <c r="E572" s="22"/>
      <c r="K572" s="22"/>
      <c r="N572" s="22"/>
    </row>
    <row r="573">
      <c r="E573" s="22"/>
      <c r="K573" s="22"/>
      <c r="N573" s="22"/>
    </row>
    <row r="574">
      <c r="E574" s="22"/>
      <c r="K574" s="22"/>
      <c r="N574" s="22"/>
    </row>
    <row r="575">
      <c r="E575" s="22"/>
      <c r="K575" s="22"/>
      <c r="N575" s="22"/>
    </row>
    <row r="576">
      <c r="E576" s="22"/>
      <c r="K576" s="22"/>
      <c r="N576" s="22"/>
    </row>
    <row r="577">
      <c r="E577" s="22"/>
      <c r="K577" s="22"/>
      <c r="N577" s="22"/>
    </row>
    <row r="578">
      <c r="E578" s="22"/>
      <c r="K578" s="22"/>
      <c r="N578" s="22"/>
    </row>
    <row r="579">
      <c r="E579" s="22"/>
      <c r="K579" s="22"/>
      <c r="N579" s="22"/>
    </row>
    <row r="580">
      <c r="E580" s="22"/>
      <c r="K580" s="22"/>
      <c r="N580" s="22"/>
    </row>
    <row r="581">
      <c r="E581" s="22"/>
      <c r="K581" s="22"/>
      <c r="N581" s="22"/>
    </row>
    <row r="582">
      <c r="E582" s="22"/>
      <c r="K582" s="22"/>
      <c r="N582" s="22"/>
    </row>
    <row r="583">
      <c r="E583" s="22"/>
      <c r="K583" s="22"/>
      <c r="N583" s="22"/>
    </row>
    <row r="584">
      <c r="E584" s="22"/>
      <c r="K584" s="22"/>
      <c r="N584" s="22"/>
    </row>
    <row r="585">
      <c r="E585" s="22"/>
      <c r="K585" s="22"/>
      <c r="N585" s="22"/>
    </row>
    <row r="586">
      <c r="E586" s="22"/>
      <c r="K586" s="22"/>
      <c r="N586" s="22"/>
    </row>
    <row r="587">
      <c r="E587" s="22"/>
      <c r="K587" s="22"/>
      <c r="N587" s="22"/>
    </row>
    <row r="588">
      <c r="E588" s="22"/>
      <c r="K588" s="22"/>
      <c r="N588" s="22"/>
    </row>
    <row r="589">
      <c r="E589" s="22"/>
      <c r="K589" s="22"/>
      <c r="N589" s="22"/>
    </row>
    <row r="590">
      <c r="E590" s="22"/>
      <c r="K590" s="22"/>
      <c r="N590" s="22"/>
    </row>
    <row r="591">
      <c r="E591" s="22"/>
      <c r="K591" s="22"/>
      <c r="N591" s="22"/>
    </row>
    <row r="592">
      <c r="E592" s="22"/>
      <c r="K592" s="22"/>
      <c r="N592" s="22"/>
    </row>
    <row r="593">
      <c r="E593" s="22"/>
      <c r="K593" s="22"/>
      <c r="N593" s="22"/>
    </row>
    <row r="594">
      <c r="E594" s="22"/>
      <c r="K594" s="22"/>
      <c r="N594" s="22"/>
    </row>
    <row r="595">
      <c r="E595" s="22"/>
      <c r="K595" s="22"/>
      <c r="N595" s="22"/>
    </row>
    <row r="596">
      <c r="E596" s="22"/>
      <c r="K596" s="22"/>
      <c r="N596" s="22"/>
    </row>
    <row r="597">
      <c r="E597" s="22"/>
      <c r="K597" s="22"/>
      <c r="N597" s="22"/>
    </row>
    <row r="598">
      <c r="E598" s="22"/>
      <c r="K598" s="22"/>
      <c r="N598" s="22"/>
    </row>
    <row r="599">
      <c r="E599" s="22"/>
      <c r="K599" s="22"/>
      <c r="N599" s="22"/>
    </row>
    <row r="600">
      <c r="E600" s="22"/>
      <c r="K600" s="22"/>
      <c r="N600" s="22"/>
    </row>
    <row r="601">
      <c r="E601" s="22"/>
      <c r="K601" s="22"/>
      <c r="N601" s="22"/>
    </row>
    <row r="602">
      <c r="E602" s="22"/>
      <c r="K602" s="22"/>
      <c r="N602" s="22"/>
    </row>
    <row r="603">
      <c r="E603" s="22"/>
      <c r="K603" s="22"/>
      <c r="N603" s="22"/>
    </row>
    <row r="604">
      <c r="E604" s="22"/>
      <c r="K604" s="22"/>
      <c r="N604" s="22"/>
    </row>
    <row r="605">
      <c r="E605" s="22"/>
      <c r="K605" s="22"/>
      <c r="N605" s="22"/>
    </row>
    <row r="606">
      <c r="E606" s="22"/>
      <c r="K606" s="22"/>
      <c r="N606" s="22"/>
    </row>
    <row r="607">
      <c r="E607" s="22"/>
      <c r="K607" s="22"/>
      <c r="N607" s="22"/>
    </row>
    <row r="608">
      <c r="E608" s="22"/>
      <c r="K608" s="22"/>
      <c r="N608" s="22"/>
    </row>
    <row r="609">
      <c r="E609" s="22"/>
      <c r="K609" s="22"/>
      <c r="N609" s="22"/>
    </row>
    <row r="610">
      <c r="E610" s="22"/>
      <c r="K610" s="22"/>
      <c r="N610" s="22"/>
    </row>
    <row r="611">
      <c r="E611" s="22"/>
      <c r="K611" s="22"/>
      <c r="N611" s="22"/>
    </row>
    <row r="612">
      <c r="E612" s="22"/>
      <c r="K612" s="22"/>
      <c r="N612" s="22"/>
    </row>
    <row r="613">
      <c r="E613" s="22"/>
      <c r="K613" s="22"/>
      <c r="N613" s="22"/>
    </row>
    <row r="614">
      <c r="E614" s="22"/>
      <c r="K614" s="22"/>
      <c r="N614" s="22"/>
    </row>
    <row r="615">
      <c r="E615" s="22"/>
      <c r="K615" s="22"/>
      <c r="N615" s="22"/>
    </row>
    <row r="616">
      <c r="E616" s="22"/>
      <c r="K616" s="22"/>
      <c r="N616" s="22"/>
    </row>
    <row r="617">
      <c r="E617" s="22"/>
      <c r="K617" s="22"/>
      <c r="N617" s="22"/>
    </row>
    <row r="618">
      <c r="E618" s="22"/>
      <c r="K618" s="22"/>
      <c r="N618" s="22"/>
    </row>
    <row r="619">
      <c r="E619" s="22"/>
      <c r="K619" s="22"/>
      <c r="N619" s="22"/>
    </row>
    <row r="620">
      <c r="E620" s="22"/>
      <c r="K620" s="22"/>
      <c r="N620" s="22"/>
    </row>
    <row r="621">
      <c r="E621" s="22"/>
      <c r="K621" s="22"/>
      <c r="N621" s="22"/>
    </row>
    <row r="622">
      <c r="E622" s="22"/>
      <c r="K622" s="22"/>
      <c r="N622" s="22"/>
    </row>
    <row r="623">
      <c r="E623" s="22"/>
      <c r="K623" s="22"/>
      <c r="N623" s="22"/>
    </row>
    <row r="624">
      <c r="E624" s="22"/>
      <c r="K624" s="22"/>
      <c r="N624" s="22"/>
    </row>
    <row r="625">
      <c r="E625" s="22"/>
      <c r="K625" s="22"/>
      <c r="N625" s="22"/>
    </row>
    <row r="626">
      <c r="E626" s="22"/>
      <c r="K626" s="22"/>
      <c r="N626" s="22"/>
    </row>
    <row r="627">
      <c r="E627" s="22"/>
      <c r="K627" s="22"/>
      <c r="N627" s="22"/>
    </row>
    <row r="628">
      <c r="E628" s="22"/>
      <c r="K628" s="22"/>
      <c r="N628" s="22"/>
    </row>
    <row r="629">
      <c r="E629" s="22"/>
      <c r="K629" s="22"/>
      <c r="N629" s="22"/>
    </row>
    <row r="630">
      <c r="E630" s="22"/>
      <c r="K630" s="22"/>
      <c r="N630" s="22"/>
    </row>
    <row r="631">
      <c r="E631" s="22"/>
      <c r="K631" s="22"/>
      <c r="N631" s="22"/>
    </row>
    <row r="632">
      <c r="E632" s="22"/>
      <c r="K632" s="22"/>
      <c r="N632" s="22"/>
    </row>
    <row r="633">
      <c r="E633" s="22"/>
      <c r="K633" s="22"/>
      <c r="N633" s="22"/>
    </row>
    <row r="634">
      <c r="E634" s="22"/>
      <c r="K634" s="22"/>
      <c r="N634" s="22"/>
    </row>
    <row r="635">
      <c r="E635" s="22"/>
      <c r="K635" s="22"/>
      <c r="N635" s="22"/>
    </row>
    <row r="636">
      <c r="E636" s="22"/>
      <c r="K636" s="22"/>
      <c r="N636" s="22"/>
    </row>
    <row r="637">
      <c r="E637" s="22"/>
      <c r="K637" s="22"/>
      <c r="N637" s="22"/>
    </row>
    <row r="638">
      <c r="E638" s="22"/>
      <c r="K638" s="22"/>
      <c r="N638" s="22"/>
    </row>
    <row r="639">
      <c r="E639" s="22"/>
      <c r="K639" s="22"/>
      <c r="N639" s="22"/>
    </row>
    <row r="640">
      <c r="E640" s="22"/>
      <c r="K640" s="22"/>
      <c r="N640" s="22"/>
    </row>
    <row r="641">
      <c r="E641" s="22"/>
      <c r="K641" s="22"/>
      <c r="N641" s="22"/>
    </row>
    <row r="642">
      <c r="E642" s="22"/>
      <c r="K642" s="22"/>
      <c r="N642" s="22"/>
    </row>
    <row r="643">
      <c r="E643" s="22"/>
      <c r="K643" s="22"/>
      <c r="N643" s="22"/>
    </row>
    <row r="644">
      <c r="E644" s="22"/>
      <c r="K644" s="22"/>
      <c r="N644" s="22"/>
    </row>
    <row r="645">
      <c r="E645" s="22"/>
      <c r="K645" s="22"/>
      <c r="N645" s="22"/>
    </row>
    <row r="646">
      <c r="E646" s="22"/>
      <c r="K646" s="22"/>
      <c r="N646" s="22"/>
    </row>
    <row r="647">
      <c r="E647" s="22"/>
      <c r="K647" s="22"/>
      <c r="N647" s="22"/>
    </row>
    <row r="648">
      <c r="E648" s="22"/>
      <c r="K648" s="22"/>
      <c r="N648" s="22"/>
    </row>
    <row r="649">
      <c r="E649" s="22"/>
      <c r="K649" s="22"/>
      <c r="N649" s="22"/>
    </row>
    <row r="650">
      <c r="E650" s="22"/>
      <c r="K650" s="22"/>
      <c r="N650" s="22"/>
    </row>
    <row r="651">
      <c r="E651" s="22"/>
      <c r="K651" s="22"/>
      <c r="N651" s="22"/>
    </row>
    <row r="652">
      <c r="E652" s="22"/>
      <c r="K652" s="22"/>
      <c r="N652" s="22"/>
    </row>
    <row r="653">
      <c r="E653" s="22"/>
      <c r="K653" s="22"/>
      <c r="N653" s="22"/>
    </row>
    <row r="654">
      <c r="E654" s="22"/>
      <c r="K654" s="22"/>
      <c r="N654" s="22"/>
    </row>
    <row r="655">
      <c r="E655" s="22"/>
      <c r="K655" s="22"/>
      <c r="N655" s="22"/>
    </row>
    <row r="656">
      <c r="E656" s="22"/>
      <c r="K656" s="22"/>
      <c r="N656" s="22"/>
    </row>
    <row r="657">
      <c r="E657" s="22"/>
      <c r="K657" s="22"/>
      <c r="N657" s="22"/>
    </row>
    <row r="658">
      <c r="E658" s="22"/>
      <c r="K658" s="22"/>
      <c r="N658" s="22"/>
    </row>
    <row r="659">
      <c r="E659" s="22"/>
      <c r="K659" s="22"/>
      <c r="N659" s="22"/>
    </row>
    <row r="660">
      <c r="E660" s="22"/>
      <c r="K660" s="22"/>
      <c r="N660" s="22"/>
    </row>
    <row r="661">
      <c r="E661" s="22"/>
      <c r="K661" s="22"/>
      <c r="N661" s="22"/>
    </row>
    <row r="662">
      <c r="E662" s="22"/>
      <c r="K662" s="22"/>
      <c r="N662" s="22"/>
    </row>
    <row r="663">
      <c r="E663" s="22"/>
      <c r="K663" s="22"/>
      <c r="N663" s="22"/>
    </row>
    <row r="664">
      <c r="E664" s="22"/>
      <c r="K664" s="22"/>
      <c r="N664" s="22"/>
    </row>
    <row r="665">
      <c r="E665" s="22"/>
      <c r="K665" s="22"/>
      <c r="N665" s="22"/>
    </row>
    <row r="666">
      <c r="E666" s="22"/>
      <c r="K666" s="22"/>
      <c r="N666" s="22"/>
    </row>
    <row r="667">
      <c r="E667" s="22"/>
      <c r="K667" s="22"/>
      <c r="N667" s="22"/>
    </row>
    <row r="668">
      <c r="E668" s="22"/>
      <c r="K668" s="22"/>
      <c r="N668" s="22"/>
    </row>
    <row r="669">
      <c r="E669" s="22"/>
      <c r="K669" s="22"/>
      <c r="N669" s="22"/>
    </row>
    <row r="670">
      <c r="E670" s="22"/>
      <c r="K670" s="22"/>
      <c r="N670" s="22"/>
    </row>
    <row r="671">
      <c r="E671" s="22"/>
      <c r="K671" s="22"/>
      <c r="N671" s="22"/>
    </row>
    <row r="672">
      <c r="E672" s="22"/>
      <c r="K672" s="22"/>
      <c r="N672" s="22"/>
    </row>
    <row r="673">
      <c r="E673" s="22"/>
      <c r="K673" s="22"/>
      <c r="N673" s="22"/>
    </row>
    <row r="674">
      <c r="E674" s="22"/>
      <c r="K674" s="22"/>
      <c r="N674" s="22"/>
    </row>
    <row r="675">
      <c r="E675" s="22"/>
      <c r="K675" s="22"/>
      <c r="N675" s="22"/>
    </row>
    <row r="676">
      <c r="E676" s="22"/>
      <c r="K676" s="22"/>
      <c r="N676" s="22"/>
    </row>
    <row r="677">
      <c r="E677" s="22"/>
      <c r="K677" s="22"/>
      <c r="N677" s="22"/>
    </row>
    <row r="678">
      <c r="E678" s="22"/>
      <c r="K678" s="22"/>
      <c r="N678" s="22"/>
    </row>
    <row r="679">
      <c r="E679" s="22"/>
      <c r="K679" s="22"/>
      <c r="N679" s="22"/>
    </row>
    <row r="680">
      <c r="E680" s="22"/>
      <c r="K680" s="22"/>
      <c r="N680" s="22"/>
    </row>
    <row r="681">
      <c r="E681" s="22"/>
      <c r="K681" s="22"/>
      <c r="N681" s="22"/>
    </row>
    <row r="682">
      <c r="E682" s="22"/>
      <c r="K682" s="22"/>
      <c r="N682" s="22"/>
    </row>
    <row r="683">
      <c r="E683" s="22"/>
      <c r="K683" s="22"/>
      <c r="N683" s="22"/>
    </row>
    <row r="684">
      <c r="E684" s="22"/>
      <c r="K684" s="22"/>
      <c r="N684" s="22"/>
    </row>
    <row r="685">
      <c r="E685" s="22"/>
      <c r="K685" s="22"/>
      <c r="N685" s="22"/>
    </row>
    <row r="686">
      <c r="E686" s="22"/>
      <c r="K686" s="22"/>
      <c r="N686" s="22"/>
    </row>
    <row r="687">
      <c r="E687" s="22"/>
      <c r="K687" s="22"/>
      <c r="N687" s="22"/>
    </row>
    <row r="688">
      <c r="E688" s="22"/>
      <c r="K688" s="22"/>
      <c r="N688" s="22"/>
    </row>
    <row r="689">
      <c r="E689" s="22"/>
      <c r="K689" s="22"/>
      <c r="N689" s="22"/>
    </row>
    <row r="690">
      <c r="E690" s="22"/>
      <c r="K690" s="22"/>
      <c r="N690" s="22"/>
    </row>
    <row r="691">
      <c r="E691" s="22"/>
      <c r="K691" s="22"/>
      <c r="N691" s="22"/>
    </row>
    <row r="692">
      <c r="E692" s="22"/>
      <c r="K692" s="22"/>
      <c r="N692" s="22"/>
    </row>
    <row r="693">
      <c r="E693" s="22"/>
      <c r="K693" s="22"/>
      <c r="N693" s="22"/>
    </row>
    <row r="694">
      <c r="E694" s="22"/>
      <c r="K694" s="22"/>
      <c r="N694" s="22"/>
    </row>
    <row r="695">
      <c r="E695" s="22"/>
      <c r="K695" s="22"/>
      <c r="N695" s="22"/>
    </row>
    <row r="696">
      <c r="E696" s="22"/>
      <c r="K696" s="22"/>
      <c r="N696" s="22"/>
    </row>
    <row r="697">
      <c r="E697" s="22"/>
      <c r="K697" s="22"/>
      <c r="N697" s="22"/>
    </row>
    <row r="698">
      <c r="E698" s="22"/>
      <c r="K698" s="22"/>
      <c r="N698" s="22"/>
    </row>
    <row r="699">
      <c r="E699" s="22"/>
      <c r="K699" s="22"/>
      <c r="N699" s="22"/>
    </row>
    <row r="700">
      <c r="E700" s="22"/>
      <c r="K700" s="22"/>
      <c r="N700" s="22"/>
    </row>
    <row r="701">
      <c r="E701" s="22"/>
      <c r="K701" s="22"/>
      <c r="N701" s="22"/>
    </row>
    <row r="702">
      <c r="E702" s="22"/>
      <c r="K702" s="22"/>
      <c r="N702" s="22"/>
    </row>
    <row r="703">
      <c r="E703" s="22"/>
      <c r="K703" s="22"/>
      <c r="N703" s="22"/>
    </row>
    <row r="704">
      <c r="E704" s="22"/>
      <c r="K704" s="22"/>
      <c r="N704" s="22"/>
    </row>
    <row r="705">
      <c r="E705" s="22"/>
      <c r="K705" s="22"/>
      <c r="N705" s="22"/>
    </row>
    <row r="706">
      <c r="E706" s="22"/>
      <c r="K706" s="22"/>
      <c r="N706" s="22"/>
    </row>
    <row r="707">
      <c r="E707" s="22"/>
      <c r="K707" s="22"/>
      <c r="N707" s="22"/>
    </row>
    <row r="708">
      <c r="E708" s="22"/>
      <c r="K708" s="22"/>
      <c r="N708" s="22"/>
    </row>
    <row r="709">
      <c r="E709" s="22"/>
      <c r="K709" s="22"/>
      <c r="N709" s="22"/>
    </row>
    <row r="710">
      <c r="E710" s="22"/>
      <c r="K710" s="22"/>
      <c r="N710" s="22"/>
    </row>
    <row r="711">
      <c r="E711" s="22"/>
      <c r="K711" s="22"/>
      <c r="N711" s="22"/>
    </row>
    <row r="712">
      <c r="E712" s="22"/>
      <c r="K712" s="22"/>
      <c r="N712" s="22"/>
    </row>
    <row r="713">
      <c r="E713" s="22"/>
      <c r="K713" s="22"/>
      <c r="N713" s="22"/>
    </row>
    <row r="714">
      <c r="E714" s="22"/>
      <c r="K714" s="22"/>
      <c r="N714" s="22"/>
    </row>
    <row r="715">
      <c r="E715" s="22"/>
      <c r="K715" s="22"/>
      <c r="N715" s="22"/>
    </row>
    <row r="716">
      <c r="E716" s="22"/>
      <c r="K716" s="22"/>
      <c r="N716" s="22"/>
    </row>
    <row r="717">
      <c r="E717" s="22"/>
      <c r="K717" s="22"/>
      <c r="N717" s="22"/>
    </row>
    <row r="718">
      <c r="E718" s="22"/>
      <c r="K718" s="22"/>
      <c r="N718" s="22"/>
    </row>
    <row r="719">
      <c r="E719" s="22"/>
      <c r="K719" s="22"/>
      <c r="N719" s="22"/>
    </row>
    <row r="720">
      <c r="E720" s="22"/>
      <c r="K720" s="22"/>
      <c r="N720" s="22"/>
    </row>
    <row r="721">
      <c r="E721" s="22"/>
      <c r="K721" s="22"/>
      <c r="N721" s="22"/>
    </row>
    <row r="722">
      <c r="E722" s="22"/>
      <c r="K722" s="22"/>
      <c r="N722" s="22"/>
    </row>
    <row r="723">
      <c r="E723" s="22"/>
      <c r="K723" s="22"/>
      <c r="N723" s="22"/>
    </row>
    <row r="724">
      <c r="E724" s="22"/>
      <c r="K724" s="22"/>
      <c r="N724" s="22"/>
    </row>
    <row r="725">
      <c r="E725" s="22"/>
      <c r="K725" s="22"/>
      <c r="N725" s="22"/>
    </row>
    <row r="726">
      <c r="E726" s="22"/>
      <c r="K726" s="22"/>
      <c r="N726" s="22"/>
    </row>
    <row r="727">
      <c r="E727" s="22"/>
      <c r="K727" s="22"/>
      <c r="N727" s="22"/>
    </row>
    <row r="728">
      <c r="E728" s="22"/>
      <c r="K728" s="22"/>
      <c r="N728" s="22"/>
    </row>
    <row r="729">
      <c r="E729" s="22"/>
      <c r="K729" s="22"/>
      <c r="N729" s="22"/>
    </row>
    <row r="730">
      <c r="E730" s="22"/>
      <c r="K730" s="22"/>
      <c r="N730" s="22"/>
    </row>
    <row r="731">
      <c r="E731" s="22"/>
      <c r="K731" s="22"/>
      <c r="N731" s="22"/>
    </row>
    <row r="732">
      <c r="E732" s="22"/>
      <c r="K732" s="22"/>
      <c r="N732" s="22"/>
    </row>
    <row r="733">
      <c r="E733" s="22"/>
      <c r="K733" s="22"/>
      <c r="N733" s="22"/>
    </row>
    <row r="734">
      <c r="E734" s="22"/>
      <c r="K734" s="22"/>
      <c r="N734" s="22"/>
    </row>
    <row r="735">
      <c r="E735" s="22"/>
      <c r="K735" s="22"/>
      <c r="N735" s="22"/>
    </row>
    <row r="736">
      <c r="E736" s="22"/>
      <c r="K736" s="22"/>
      <c r="N736" s="22"/>
    </row>
    <row r="737">
      <c r="E737" s="22"/>
      <c r="K737" s="22"/>
      <c r="N737" s="22"/>
    </row>
    <row r="738">
      <c r="E738" s="22"/>
      <c r="K738" s="22"/>
      <c r="N738" s="22"/>
    </row>
    <row r="739">
      <c r="E739" s="22"/>
      <c r="K739" s="22"/>
      <c r="N739" s="22"/>
    </row>
    <row r="740">
      <c r="E740" s="22"/>
      <c r="K740" s="22"/>
      <c r="N740" s="22"/>
    </row>
    <row r="741">
      <c r="E741" s="22"/>
      <c r="K741" s="22"/>
      <c r="N741" s="22"/>
    </row>
    <row r="742">
      <c r="E742" s="22"/>
      <c r="K742" s="22"/>
      <c r="N742" s="22"/>
    </row>
    <row r="743">
      <c r="E743" s="22"/>
      <c r="K743" s="22"/>
      <c r="N743" s="22"/>
    </row>
    <row r="744">
      <c r="E744" s="22"/>
      <c r="K744" s="22"/>
      <c r="N744" s="22"/>
    </row>
    <row r="745">
      <c r="E745" s="22"/>
      <c r="K745" s="22"/>
      <c r="N745" s="22"/>
    </row>
    <row r="746">
      <c r="E746" s="22"/>
      <c r="K746" s="22"/>
      <c r="N746" s="22"/>
    </row>
    <row r="747">
      <c r="E747" s="22"/>
      <c r="K747" s="22"/>
      <c r="N747" s="22"/>
    </row>
    <row r="748">
      <c r="E748" s="22"/>
      <c r="K748" s="22"/>
      <c r="N748" s="22"/>
    </row>
    <row r="749">
      <c r="E749" s="22"/>
      <c r="K749" s="22"/>
      <c r="N749" s="22"/>
    </row>
    <row r="750">
      <c r="E750" s="22"/>
      <c r="K750" s="22"/>
      <c r="N750" s="22"/>
    </row>
    <row r="751">
      <c r="E751" s="22"/>
      <c r="K751" s="22"/>
      <c r="N751" s="22"/>
    </row>
    <row r="752">
      <c r="E752" s="22"/>
      <c r="K752" s="22"/>
      <c r="N752" s="22"/>
    </row>
    <row r="753">
      <c r="E753" s="22"/>
      <c r="K753" s="22"/>
      <c r="N753" s="22"/>
    </row>
    <row r="754">
      <c r="E754" s="22"/>
      <c r="K754" s="22"/>
      <c r="N754" s="22"/>
    </row>
    <row r="755">
      <c r="E755" s="22"/>
      <c r="K755" s="22"/>
      <c r="N755" s="22"/>
    </row>
    <row r="756">
      <c r="E756" s="22"/>
      <c r="K756" s="22"/>
      <c r="N756" s="22"/>
    </row>
    <row r="757">
      <c r="E757" s="22"/>
      <c r="K757" s="22"/>
      <c r="N757" s="22"/>
    </row>
    <row r="758">
      <c r="E758" s="22"/>
      <c r="K758" s="22"/>
      <c r="N758" s="22"/>
    </row>
    <row r="759">
      <c r="E759" s="22"/>
      <c r="K759" s="22"/>
      <c r="N759" s="22"/>
    </row>
    <row r="760">
      <c r="E760" s="22"/>
      <c r="K760" s="22"/>
      <c r="N760" s="22"/>
    </row>
    <row r="761">
      <c r="E761" s="22"/>
      <c r="K761" s="22"/>
      <c r="N761" s="22"/>
    </row>
    <row r="762">
      <c r="E762" s="22"/>
      <c r="K762" s="22"/>
      <c r="N762" s="22"/>
    </row>
    <row r="763">
      <c r="E763" s="22"/>
      <c r="K763" s="22"/>
      <c r="N763" s="22"/>
    </row>
    <row r="764">
      <c r="E764" s="22"/>
      <c r="K764" s="22"/>
      <c r="N764" s="22"/>
    </row>
    <row r="765">
      <c r="E765" s="22"/>
      <c r="K765" s="22"/>
      <c r="N765" s="22"/>
    </row>
    <row r="766">
      <c r="E766" s="22"/>
      <c r="K766" s="22"/>
      <c r="N766" s="22"/>
    </row>
    <row r="767">
      <c r="E767" s="22"/>
      <c r="K767" s="22"/>
      <c r="N767" s="22"/>
    </row>
    <row r="768">
      <c r="E768" s="22"/>
      <c r="K768" s="22"/>
      <c r="N768" s="22"/>
    </row>
    <row r="769">
      <c r="E769" s="22"/>
      <c r="K769" s="22"/>
      <c r="N769" s="22"/>
    </row>
    <row r="770">
      <c r="E770" s="22"/>
      <c r="K770" s="22"/>
      <c r="N770" s="22"/>
    </row>
    <row r="771">
      <c r="E771" s="22"/>
      <c r="K771" s="22"/>
      <c r="N771" s="22"/>
    </row>
    <row r="772">
      <c r="E772" s="22"/>
      <c r="K772" s="22"/>
      <c r="N772" s="22"/>
    </row>
    <row r="773">
      <c r="E773" s="22"/>
      <c r="K773" s="22"/>
      <c r="N773" s="22"/>
    </row>
    <row r="774">
      <c r="E774" s="22"/>
      <c r="K774" s="22"/>
      <c r="N774" s="22"/>
    </row>
    <row r="775">
      <c r="E775" s="22"/>
      <c r="K775" s="22"/>
      <c r="N775" s="22"/>
    </row>
    <row r="776">
      <c r="E776" s="22"/>
      <c r="K776" s="22"/>
      <c r="N776" s="22"/>
    </row>
    <row r="777">
      <c r="E777" s="22"/>
      <c r="K777" s="22"/>
      <c r="N777" s="22"/>
    </row>
    <row r="778">
      <c r="E778" s="22"/>
      <c r="K778" s="22"/>
      <c r="N778" s="22"/>
    </row>
    <row r="779">
      <c r="E779" s="22"/>
      <c r="K779" s="22"/>
      <c r="N779" s="22"/>
    </row>
    <row r="780">
      <c r="E780" s="22"/>
      <c r="K780" s="22"/>
      <c r="N780" s="22"/>
    </row>
    <row r="781">
      <c r="E781" s="22"/>
      <c r="K781" s="22"/>
      <c r="N781" s="22"/>
    </row>
    <row r="782">
      <c r="E782" s="22"/>
      <c r="K782" s="22"/>
      <c r="N782" s="22"/>
    </row>
    <row r="783">
      <c r="E783" s="22"/>
      <c r="K783" s="22"/>
      <c r="N783" s="22"/>
    </row>
    <row r="784">
      <c r="E784" s="22"/>
      <c r="K784" s="22"/>
      <c r="N784" s="22"/>
    </row>
    <row r="785">
      <c r="E785" s="22"/>
      <c r="K785" s="22"/>
      <c r="N785" s="22"/>
    </row>
    <row r="786">
      <c r="E786" s="22"/>
      <c r="K786" s="22"/>
      <c r="N786" s="22"/>
    </row>
    <row r="787">
      <c r="E787" s="22"/>
      <c r="K787" s="22"/>
      <c r="N787" s="22"/>
    </row>
    <row r="788">
      <c r="E788" s="22"/>
      <c r="K788" s="22"/>
      <c r="N788" s="22"/>
    </row>
    <row r="789">
      <c r="E789" s="22"/>
      <c r="K789" s="22"/>
      <c r="N789" s="22"/>
    </row>
    <row r="790">
      <c r="E790" s="22"/>
      <c r="K790" s="22"/>
      <c r="N790" s="22"/>
    </row>
    <row r="791">
      <c r="E791" s="22"/>
      <c r="K791" s="22"/>
      <c r="N791" s="22"/>
    </row>
    <row r="792">
      <c r="E792" s="22"/>
      <c r="K792" s="22"/>
      <c r="N792" s="22"/>
    </row>
    <row r="793">
      <c r="E793" s="22"/>
      <c r="K793" s="22"/>
      <c r="N793" s="22"/>
    </row>
    <row r="794">
      <c r="E794" s="22"/>
      <c r="K794" s="22"/>
      <c r="N794" s="22"/>
    </row>
    <row r="795">
      <c r="E795" s="22"/>
      <c r="K795" s="22"/>
      <c r="N795" s="22"/>
    </row>
    <row r="796">
      <c r="E796" s="22"/>
      <c r="K796" s="22"/>
      <c r="N796" s="22"/>
    </row>
    <row r="797">
      <c r="E797" s="22"/>
      <c r="K797" s="22"/>
      <c r="N797" s="22"/>
    </row>
    <row r="798">
      <c r="E798" s="22"/>
      <c r="K798" s="22"/>
      <c r="N798" s="22"/>
    </row>
    <row r="799">
      <c r="E799" s="22"/>
      <c r="K799" s="22"/>
      <c r="N799" s="22"/>
    </row>
    <row r="800">
      <c r="E800" s="22"/>
      <c r="K800" s="22"/>
      <c r="N800" s="22"/>
    </row>
    <row r="801">
      <c r="E801" s="22"/>
      <c r="K801" s="22"/>
      <c r="N801" s="22"/>
    </row>
    <row r="802">
      <c r="E802" s="22"/>
      <c r="K802" s="22"/>
      <c r="N802" s="22"/>
    </row>
    <row r="803">
      <c r="E803" s="22"/>
      <c r="K803" s="22"/>
      <c r="N803" s="22"/>
    </row>
    <row r="804">
      <c r="E804" s="22"/>
      <c r="K804" s="22"/>
      <c r="N804" s="22"/>
    </row>
    <row r="805">
      <c r="E805" s="22"/>
      <c r="K805" s="22"/>
      <c r="N805" s="22"/>
    </row>
    <row r="806">
      <c r="E806" s="22"/>
      <c r="K806" s="22"/>
      <c r="N806" s="22"/>
    </row>
    <row r="807">
      <c r="E807" s="22"/>
      <c r="K807" s="22"/>
      <c r="N807" s="22"/>
    </row>
    <row r="808">
      <c r="E808" s="22"/>
      <c r="K808" s="22"/>
      <c r="N808" s="22"/>
    </row>
    <row r="809">
      <c r="E809" s="22"/>
      <c r="K809" s="22"/>
      <c r="N809" s="22"/>
    </row>
    <row r="810">
      <c r="E810" s="22"/>
      <c r="K810" s="22"/>
      <c r="N810" s="22"/>
    </row>
    <row r="811">
      <c r="E811" s="22"/>
      <c r="K811" s="22"/>
      <c r="N811" s="22"/>
    </row>
    <row r="812">
      <c r="E812" s="22"/>
      <c r="K812" s="22"/>
      <c r="N812" s="22"/>
    </row>
    <row r="813">
      <c r="E813" s="22"/>
      <c r="K813" s="22"/>
      <c r="N813" s="22"/>
    </row>
    <row r="814">
      <c r="E814" s="22"/>
      <c r="K814" s="22"/>
      <c r="N814" s="22"/>
    </row>
    <row r="815">
      <c r="E815" s="22"/>
      <c r="K815" s="22"/>
      <c r="N815" s="22"/>
    </row>
    <row r="816">
      <c r="E816" s="22"/>
      <c r="K816" s="22"/>
      <c r="N816" s="22"/>
    </row>
    <row r="817">
      <c r="E817" s="22"/>
      <c r="K817" s="22"/>
      <c r="N817" s="22"/>
    </row>
    <row r="818">
      <c r="E818" s="22"/>
      <c r="K818" s="22"/>
      <c r="N818" s="22"/>
    </row>
    <row r="819">
      <c r="E819" s="22"/>
      <c r="K819" s="22"/>
      <c r="N819" s="22"/>
    </row>
    <row r="820">
      <c r="E820" s="22"/>
      <c r="K820" s="22"/>
      <c r="N820" s="22"/>
    </row>
    <row r="821">
      <c r="E821" s="22"/>
      <c r="K821" s="22"/>
      <c r="N821" s="22"/>
    </row>
    <row r="822">
      <c r="E822" s="22"/>
      <c r="K822" s="22"/>
      <c r="N822" s="22"/>
    </row>
    <row r="823">
      <c r="E823" s="22"/>
      <c r="K823" s="22"/>
      <c r="N823" s="22"/>
    </row>
    <row r="824">
      <c r="E824" s="22"/>
      <c r="K824" s="22"/>
      <c r="N824" s="22"/>
    </row>
    <row r="825">
      <c r="E825" s="22"/>
      <c r="K825" s="22"/>
      <c r="N825" s="22"/>
    </row>
    <row r="826">
      <c r="E826" s="22"/>
      <c r="K826" s="22"/>
      <c r="N826" s="22"/>
    </row>
    <row r="827">
      <c r="E827" s="22"/>
      <c r="K827" s="22"/>
      <c r="N827" s="22"/>
    </row>
    <row r="828">
      <c r="E828" s="22"/>
      <c r="K828" s="22"/>
      <c r="N828" s="22"/>
    </row>
    <row r="829">
      <c r="E829" s="22"/>
      <c r="K829" s="22"/>
      <c r="N829" s="22"/>
    </row>
    <row r="830">
      <c r="E830" s="22"/>
      <c r="K830" s="22"/>
      <c r="N830" s="22"/>
    </row>
    <row r="831">
      <c r="E831" s="22"/>
      <c r="K831" s="22"/>
      <c r="N831" s="22"/>
    </row>
    <row r="832">
      <c r="E832" s="22"/>
      <c r="K832" s="22"/>
      <c r="N832" s="22"/>
    </row>
    <row r="833">
      <c r="E833" s="22"/>
      <c r="K833" s="22"/>
      <c r="N833" s="22"/>
    </row>
    <row r="834">
      <c r="E834" s="22"/>
      <c r="K834" s="22"/>
      <c r="N834" s="22"/>
    </row>
    <row r="835">
      <c r="E835" s="22"/>
      <c r="K835" s="22"/>
      <c r="N835" s="22"/>
    </row>
    <row r="836">
      <c r="E836" s="22"/>
      <c r="K836" s="22"/>
      <c r="N836" s="22"/>
    </row>
    <row r="837">
      <c r="E837" s="22"/>
      <c r="K837" s="22"/>
      <c r="N837" s="22"/>
    </row>
    <row r="838">
      <c r="E838" s="22"/>
      <c r="K838" s="22"/>
      <c r="N838" s="22"/>
    </row>
    <row r="839">
      <c r="E839" s="22"/>
      <c r="K839" s="22"/>
      <c r="N839" s="22"/>
    </row>
    <row r="840">
      <c r="E840" s="22"/>
      <c r="K840" s="22"/>
      <c r="N840" s="22"/>
    </row>
    <row r="841">
      <c r="E841" s="22"/>
      <c r="K841" s="22"/>
      <c r="N841" s="22"/>
    </row>
    <row r="842">
      <c r="E842" s="22"/>
      <c r="K842" s="22"/>
      <c r="N842" s="22"/>
    </row>
    <row r="843">
      <c r="E843" s="22"/>
      <c r="K843" s="22"/>
      <c r="N843" s="22"/>
    </row>
    <row r="844">
      <c r="E844" s="22"/>
      <c r="K844" s="22"/>
      <c r="N844" s="22"/>
    </row>
    <row r="845">
      <c r="E845" s="22"/>
      <c r="K845" s="22"/>
      <c r="N845" s="22"/>
    </row>
    <row r="846">
      <c r="E846" s="22"/>
      <c r="K846" s="22"/>
      <c r="N846" s="22"/>
    </row>
    <row r="847">
      <c r="E847" s="22"/>
      <c r="K847" s="22"/>
      <c r="N847" s="22"/>
    </row>
    <row r="848">
      <c r="E848" s="22"/>
      <c r="K848" s="22"/>
      <c r="N848" s="22"/>
    </row>
    <row r="849">
      <c r="E849" s="22"/>
      <c r="K849" s="22"/>
      <c r="N849" s="22"/>
    </row>
    <row r="850">
      <c r="E850" s="22"/>
      <c r="K850" s="22"/>
      <c r="N850" s="22"/>
    </row>
    <row r="851">
      <c r="E851" s="22"/>
      <c r="K851" s="22"/>
      <c r="N851" s="22"/>
    </row>
    <row r="852">
      <c r="E852" s="22"/>
      <c r="K852" s="22"/>
      <c r="N852" s="22"/>
    </row>
    <row r="853">
      <c r="E853" s="22"/>
      <c r="K853" s="22"/>
      <c r="N853" s="22"/>
    </row>
    <row r="854">
      <c r="E854" s="22"/>
      <c r="K854" s="22"/>
      <c r="N854" s="22"/>
    </row>
    <row r="855">
      <c r="E855" s="22"/>
      <c r="K855" s="22"/>
      <c r="N855" s="22"/>
    </row>
    <row r="856">
      <c r="E856" s="22"/>
      <c r="K856" s="22"/>
      <c r="N856" s="22"/>
    </row>
    <row r="857">
      <c r="E857" s="22"/>
      <c r="K857" s="22"/>
      <c r="N857" s="22"/>
    </row>
    <row r="858">
      <c r="E858" s="22"/>
      <c r="K858" s="22"/>
      <c r="N858" s="22"/>
    </row>
    <row r="859">
      <c r="E859" s="22"/>
      <c r="K859" s="22"/>
      <c r="N859" s="22"/>
    </row>
    <row r="860">
      <c r="E860" s="22"/>
      <c r="K860" s="22"/>
      <c r="N860" s="22"/>
    </row>
    <row r="861">
      <c r="E861" s="22"/>
      <c r="K861" s="22"/>
      <c r="N861" s="22"/>
    </row>
    <row r="862">
      <c r="E862" s="22"/>
      <c r="K862" s="22"/>
      <c r="N862" s="22"/>
    </row>
    <row r="863">
      <c r="E863" s="22"/>
      <c r="K863" s="22"/>
      <c r="N863" s="22"/>
    </row>
    <row r="864">
      <c r="E864" s="22"/>
      <c r="K864" s="22"/>
      <c r="N864" s="22"/>
    </row>
    <row r="865">
      <c r="E865" s="22"/>
      <c r="K865" s="22"/>
      <c r="N865" s="22"/>
    </row>
    <row r="866">
      <c r="E866" s="22"/>
      <c r="K866" s="22"/>
      <c r="N866" s="22"/>
    </row>
    <row r="867">
      <c r="E867" s="22"/>
      <c r="K867" s="22"/>
      <c r="N867" s="22"/>
    </row>
    <row r="868">
      <c r="E868" s="22"/>
      <c r="K868" s="22"/>
      <c r="N868" s="22"/>
    </row>
    <row r="869">
      <c r="E869" s="22"/>
      <c r="K869" s="22"/>
      <c r="N869" s="22"/>
    </row>
    <row r="870">
      <c r="E870" s="22"/>
      <c r="K870" s="22"/>
      <c r="N870" s="22"/>
    </row>
    <row r="871">
      <c r="E871" s="22"/>
      <c r="K871" s="22"/>
      <c r="N871" s="22"/>
    </row>
    <row r="872">
      <c r="E872" s="22"/>
      <c r="K872" s="22"/>
      <c r="N872" s="22"/>
    </row>
    <row r="873">
      <c r="E873" s="22"/>
      <c r="K873" s="22"/>
      <c r="N873" s="22"/>
    </row>
    <row r="874">
      <c r="E874" s="22"/>
      <c r="K874" s="22"/>
      <c r="N874" s="22"/>
    </row>
    <row r="875">
      <c r="E875" s="22"/>
      <c r="K875" s="22"/>
      <c r="N875" s="22"/>
    </row>
    <row r="876">
      <c r="E876" s="22"/>
      <c r="K876" s="22"/>
      <c r="N876" s="22"/>
    </row>
    <row r="877">
      <c r="E877" s="22"/>
      <c r="K877" s="22"/>
      <c r="N877" s="22"/>
    </row>
    <row r="878">
      <c r="E878" s="22"/>
      <c r="K878" s="22"/>
      <c r="N878" s="22"/>
    </row>
    <row r="879">
      <c r="E879" s="22"/>
      <c r="K879" s="22"/>
      <c r="N879" s="22"/>
    </row>
    <row r="880">
      <c r="E880" s="22"/>
      <c r="K880" s="22"/>
      <c r="N880" s="22"/>
    </row>
    <row r="881">
      <c r="E881" s="22"/>
      <c r="K881" s="22"/>
      <c r="N881" s="22"/>
    </row>
    <row r="882">
      <c r="E882" s="22"/>
      <c r="K882" s="22"/>
      <c r="N882" s="22"/>
    </row>
    <row r="883">
      <c r="E883" s="22"/>
      <c r="K883" s="22"/>
      <c r="N883" s="22"/>
    </row>
    <row r="884">
      <c r="E884" s="22"/>
      <c r="K884" s="22"/>
      <c r="N884" s="22"/>
    </row>
    <row r="885">
      <c r="E885" s="22"/>
      <c r="K885" s="22"/>
      <c r="N885" s="22"/>
    </row>
    <row r="886">
      <c r="E886" s="22"/>
      <c r="K886" s="22"/>
      <c r="N886" s="22"/>
    </row>
    <row r="887">
      <c r="E887" s="22"/>
      <c r="K887" s="22"/>
      <c r="N887" s="22"/>
    </row>
    <row r="888">
      <c r="E888" s="22"/>
      <c r="K888" s="22"/>
      <c r="N888" s="22"/>
    </row>
    <row r="889">
      <c r="E889" s="22"/>
      <c r="K889" s="22"/>
      <c r="N889" s="22"/>
    </row>
    <row r="890">
      <c r="E890" s="22"/>
      <c r="K890" s="22"/>
      <c r="N890" s="22"/>
    </row>
    <row r="891">
      <c r="E891" s="22"/>
      <c r="K891" s="22"/>
      <c r="N891" s="22"/>
    </row>
    <row r="892">
      <c r="E892" s="22"/>
      <c r="K892" s="22"/>
      <c r="N892" s="22"/>
    </row>
    <row r="893">
      <c r="E893" s="22"/>
      <c r="K893" s="22"/>
      <c r="N893" s="22"/>
    </row>
    <row r="894">
      <c r="E894" s="22"/>
      <c r="K894" s="22"/>
      <c r="N894" s="22"/>
    </row>
    <row r="895">
      <c r="E895" s="22"/>
      <c r="K895" s="22"/>
      <c r="N895" s="22"/>
    </row>
    <row r="896">
      <c r="E896" s="22"/>
      <c r="K896" s="22"/>
      <c r="N896" s="22"/>
    </row>
    <row r="897">
      <c r="E897" s="22"/>
      <c r="K897" s="22"/>
      <c r="N897" s="22"/>
    </row>
    <row r="898">
      <c r="E898" s="22"/>
      <c r="K898" s="22"/>
      <c r="N898" s="22"/>
    </row>
    <row r="899">
      <c r="E899" s="22"/>
      <c r="K899" s="22"/>
      <c r="N899" s="22"/>
    </row>
    <row r="900">
      <c r="E900" s="22"/>
      <c r="K900" s="22"/>
      <c r="N900" s="22"/>
    </row>
    <row r="901">
      <c r="E901" s="22"/>
      <c r="K901" s="22"/>
      <c r="N901" s="22"/>
    </row>
    <row r="902">
      <c r="E902" s="22"/>
      <c r="K902" s="22"/>
      <c r="N902" s="22"/>
    </row>
    <row r="903">
      <c r="E903" s="22"/>
      <c r="K903" s="22"/>
      <c r="N903" s="22"/>
    </row>
    <row r="904">
      <c r="E904" s="22"/>
      <c r="K904" s="22"/>
      <c r="N904" s="22"/>
    </row>
    <row r="905">
      <c r="E905" s="22"/>
      <c r="K905" s="22"/>
      <c r="N905" s="22"/>
    </row>
    <row r="906">
      <c r="E906" s="22"/>
      <c r="K906" s="22"/>
      <c r="N906" s="22"/>
    </row>
    <row r="907">
      <c r="E907" s="22"/>
      <c r="K907" s="22"/>
      <c r="N907" s="22"/>
    </row>
    <row r="908">
      <c r="E908" s="22"/>
      <c r="K908" s="22"/>
      <c r="N908" s="22"/>
    </row>
    <row r="909">
      <c r="E909" s="22"/>
      <c r="K909" s="22"/>
      <c r="N909" s="22"/>
    </row>
    <row r="910">
      <c r="E910" s="22"/>
      <c r="K910" s="22"/>
      <c r="N910" s="22"/>
    </row>
    <row r="911">
      <c r="E911" s="22"/>
      <c r="K911" s="22"/>
      <c r="N911" s="22"/>
    </row>
    <row r="912">
      <c r="E912" s="22"/>
      <c r="K912" s="22"/>
      <c r="N912" s="22"/>
    </row>
    <row r="913">
      <c r="E913" s="22"/>
      <c r="K913" s="22"/>
      <c r="N913" s="22"/>
    </row>
    <row r="914">
      <c r="E914" s="22"/>
      <c r="K914" s="22"/>
      <c r="N914" s="22"/>
    </row>
    <row r="915">
      <c r="E915" s="22"/>
      <c r="K915" s="22"/>
      <c r="N915" s="22"/>
    </row>
    <row r="916">
      <c r="E916" s="22"/>
      <c r="K916" s="22"/>
      <c r="N916" s="22"/>
    </row>
    <row r="917">
      <c r="E917" s="22"/>
      <c r="K917" s="22"/>
      <c r="N917" s="22"/>
    </row>
    <row r="918">
      <c r="E918" s="22"/>
      <c r="K918" s="22"/>
      <c r="N918" s="22"/>
    </row>
    <row r="919">
      <c r="E919" s="22"/>
      <c r="K919" s="22"/>
      <c r="N919" s="22"/>
    </row>
    <row r="920">
      <c r="E920" s="22"/>
      <c r="K920" s="22"/>
      <c r="N920" s="22"/>
    </row>
    <row r="921">
      <c r="E921" s="22"/>
      <c r="K921" s="22"/>
      <c r="N921" s="22"/>
    </row>
    <row r="922">
      <c r="E922" s="22"/>
      <c r="K922" s="22"/>
      <c r="N922" s="22"/>
    </row>
    <row r="923">
      <c r="E923" s="22"/>
      <c r="K923" s="22"/>
      <c r="N923" s="22"/>
    </row>
    <row r="924">
      <c r="E924" s="22"/>
      <c r="K924" s="22"/>
      <c r="N924" s="22"/>
    </row>
    <row r="925">
      <c r="E925" s="22"/>
      <c r="K925" s="22"/>
      <c r="N925" s="22"/>
    </row>
    <row r="926">
      <c r="E926" s="22"/>
      <c r="K926" s="22"/>
      <c r="N926" s="22"/>
    </row>
    <row r="927">
      <c r="E927" s="22"/>
      <c r="K927" s="22"/>
      <c r="N927" s="22"/>
    </row>
    <row r="928">
      <c r="E928" s="22"/>
      <c r="K928" s="22"/>
      <c r="N928" s="22"/>
    </row>
    <row r="929">
      <c r="E929" s="22"/>
      <c r="K929" s="22"/>
      <c r="N929" s="22"/>
    </row>
    <row r="930">
      <c r="E930" s="22"/>
      <c r="K930" s="22"/>
      <c r="N930" s="22"/>
    </row>
    <row r="931">
      <c r="E931" s="22"/>
      <c r="K931" s="22"/>
      <c r="N931" s="22"/>
    </row>
    <row r="932">
      <c r="E932" s="22"/>
      <c r="K932" s="22"/>
      <c r="N932" s="22"/>
    </row>
    <row r="933">
      <c r="E933" s="22"/>
      <c r="K933" s="22"/>
      <c r="N933" s="22"/>
    </row>
    <row r="934">
      <c r="E934" s="22"/>
      <c r="K934" s="22"/>
      <c r="N934" s="22"/>
    </row>
    <row r="935">
      <c r="E935" s="22"/>
      <c r="K935" s="22"/>
      <c r="N935" s="22"/>
    </row>
    <row r="936">
      <c r="E936" s="22"/>
      <c r="K936" s="22"/>
      <c r="N936" s="22"/>
    </row>
    <row r="937">
      <c r="E937" s="22"/>
      <c r="K937" s="22"/>
      <c r="N937" s="22"/>
    </row>
    <row r="938">
      <c r="E938" s="22"/>
      <c r="K938" s="22"/>
      <c r="N938" s="22"/>
    </row>
    <row r="939">
      <c r="E939" s="22"/>
      <c r="K939" s="22"/>
      <c r="N939" s="22"/>
    </row>
    <row r="940">
      <c r="E940" s="22"/>
      <c r="K940" s="22"/>
      <c r="N940" s="22"/>
    </row>
    <row r="941">
      <c r="E941" s="22"/>
      <c r="K941" s="22"/>
      <c r="N941" s="22"/>
    </row>
    <row r="942">
      <c r="E942" s="22"/>
      <c r="K942" s="22"/>
      <c r="N942" s="22"/>
    </row>
    <row r="943">
      <c r="E943" s="22"/>
      <c r="K943" s="22"/>
      <c r="N943" s="22"/>
    </row>
    <row r="944">
      <c r="E944" s="22"/>
      <c r="K944" s="22"/>
      <c r="N944" s="22"/>
    </row>
    <row r="945">
      <c r="E945" s="22"/>
      <c r="K945" s="22"/>
      <c r="N945" s="22"/>
    </row>
    <row r="946">
      <c r="E946" s="22"/>
      <c r="K946" s="22"/>
      <c r="N946" s="22"/>
    </row>
    <row r="947">
      <c r="E947" s="22"/>
      <c r="K947" s="22"/>
      <c r="N947" s="22"/>
    </row>
    <row r="948">
      <c r="E948" s="22"/>
      <c r="K948" s="22"/>
      <c r="N948" s="22"/>
    </row>
    <row r="949">
      <c r="E949" s="22"/>
      <c r="K949" s="22"/>
      <c r="N949" s="22"/>
    </row>
    <row r="950">
      <c r="E950" s="22"/>
      <c r="K950" s="22"/>
      <c r="N950" s="22"/>
    </row>
    <row r="951">
      <c r="E951" s="22"/>
      <c r="K951" s="22"/>
      <c r="N951" s="22"/>
    </row>
    <row r="952">
      <c r="E952" s="22"/>
      <c r="K952" s="22"/>
      <c r="N952" s="22"/>
    </row>
    <row r="953">
      <c r="E953" s="22"/>
      <c r="K953" s="22"/>
      <c r="N953" s="22"/>
    </row>
    <row r="954">
      <c r="E954" s="22"/>
      <c r="K954" s="22"/>
      <c r="N954" s="22"/>
    </row>
    <row r="955">
      <c r="E955" s="22"/>
      <c r="K955" s="22"/>
      <c r="N955" s="22"/>
    </row>
    <row r="956">
      <c r="E956" s="22"/>
      <c r="K956" s="22"/>
      <c r="N956" s="22"/>
    </row>
    <row r="957">
      <c r="E957" s="22"/>
      <c r="K957" s="22"/>
      <c r="N957" s="22"/>
    </row>
    <row r="958">
      <c r="E958" s="22"/>
      <c r="K958" s="22"/>
      <c r="N958" s="22"/>
    </row>
    <row r="959">
      <c r="E959" s="22"/>
      <c r="K959" s="22"/>
      <c r="N959" s="22"/>
    </row>
    <row r="960">
      <c r="E960" s="22"/>
      <c r="K960" s="22"/>
      <c r="N960" s="22"/>
    </row>
    <row r="961">
      <c r="E961" s="22"/>
      <c r="K961" s="22"/>
      <c r="N961" s="22"/>
    </row>
    <row r="962">
      <c r="E962" s="22"/>
      <c r="K962" s="22"/>
      <c r="N962" s="22"/>
    </row>
    <row r="963">
      <c r="E963" s="22"/>
      <c r="K963" s="22"/>
      <c r="N963" s="22"/>
    </row>
    <row r="964">
      <c r="E964" s="22"/>
      <c r="K964" s="22"/>
      <c r="N964" s="22"/>
    </row>
    <row r="965">
      <c r="E965" s="22"/>
      <c r="K965" s="22"/>
      <c r="N965" s="22"/>
    </row>
    <row r="966">
      <c r="E966" s="22"/>
      <c r="K966" s="22"/>
      <c r="N966" s="22"/>
    </row>
    <row r="967">
      <c r="E967" s="22"/>
      <c r="K967" s="22"/>
      <c r="N967" s="22"/>
    </row>
    <row r="968">
      <c r="E968" s="22"/>
      <c r="K968" s="22"/>
      <c r="N968" s="22"/>
    </row>
    <row r="969">
      <c r="E969" s="22"/>
      <c r="K969" s="22"/>
      <c r="N969" s="22"/>
    </row>
    <row r="970">
      <c r="E970" s="22"/>
      <c r="K970" s="22"/>
      <c r="N970" s="22"/>
    </row>
    <row r="971">
      <c r="E971" s="22"/>
      <c r="K971" s="22"/>
      <c r="N971" s="22"/>
    </row>
    <row r="972">
      <c r="E972" s="22"/>
      <c r="K972" s="22"/>
      <c r="N972" s="22"/>
    </row>
    <row r="973">
      <c r="E973" s="22"/>
      <c r="K973" s="22"/>
      <c r="N973" s="22"/>
    </row>
    <row r="974">
      <c r="E974" s="22"/>
      <c r="K974" s="22"/>
      <c r="N974" s="22"/>
    </row>
    <row r="975">
      <c r="E975" s="22"/>
      <c r="K975" s="22"/>
      <c r="N975" s="22"/>
    </row>
    <row r="976">
      <c r="E976" s="22"/>
      <c r="K976" s="22"/>
      <c r="N976" s="22"/>
    </row>
    <row r="977">
      <c r="E977" s="22"/>
      <c r="K977" s="22"/>
      <c r="N977" s="22"/>
    </row>
    <row r="978">
      <c r="E978" s="22"/>
      <c r="K978" s="22"/>
      <c r="N978" s="22"/>
    </row>
    <row r="979">
      <c r="E979" s="22"/>
      <c r="K979" s="22"/>
      <c r="N979" s="22"/>
    </row>
    <row r="980">
      <c r="E980" s="22"/>
      <c r="K980" s="22"/>
      <c r="N980" s="22"/>
    </row>
    <row r="981">
      <c r="E981" s="22"/>
      <c r="K981" s="22"/>
      <c r="N981" s="22"/>
    </row>
    <row r="982">
      <c r="E982" s="22"/>
      <c r="K982" s="22"/>
      <c r="N982" s="22"/>
    </row>
    <row r="983">
      <c r="E983" s="22"/>
      <c r="K983" s="22"/>
      <c r="N983" s="22"/>
    </row>
    <row r="984">
      <c r="E984" s="22"/>
      <c r="K984" s="22"/>
      <c r="N984" s="22"/>
    </row>
    <row r="985">
      <c r="E985" s="22"/>
      <c r="K985" s="22"/>
      <c r="N985" s="22"/>
    </row>
    <row r="986">
      <c r="E986" s="22"/>
      <c r="K986" s="22"/>
      <c r="N986" s="22"/>
    </row>
    <row r="987">
      <c r="E987" s="22"/>
      <c r="K987" s="22"/>
      <c r="N987" s="22"/>
    </row>
    <row r="988">
      <c r="E988" s="22"/>
      <c r="K988" s="22"/>
      <c r="N988" s="22"/>
    </row>
    <row r="989">
      <c r="E989" s="22"/>
      <c r="K989" s="22"/>
      <c r="N989" s="22"/>
    </row>
    <row r="990">
      <c r="E990" s="22"/>
      <c r="K990" s="22"/>
      <c r="N990" s="22"/>
    </row>
    <row r="991">
      <c r="E991" s="22"/>
      <c r="K991" s="22"/>
      <c r="N991" s="22"/>
    </row>
    <row r="992">
      <c r="E992" s="22"/>
      <c r="K992" s="22"/>
      <c r="N992" s="22"/>
    </row>
    <row r="993">
      <c r="E993" s="22"/>
      <c r="K993" s="22"/>
      <c r="N993" s="22"/>
    </row>
    <row r="994">
      <c r="E994" s="22"/>
      <c r="K994" s="22"/>
      <c r="N994" s="22"/>
    </row>
    <row r="995">
      <c r="E995" s="22"/>
      <c r="K995" s="22"/>
      <c r="N995" s="22"/>
    </row>
    <row r="996">
      <c r="E996" s="22"/>
      <c r="K996" s="22"/>
      <c r="N996" s="22"/>
    </row>
    <row r="997">
      <c r="E997" s="22"/>
      <c r="K997" s="22"/>
      <c r="N997" s="22"/>
    </row>
    <row r="998">
      <c r="E998" s="22"/>
      <c r="K998" s="22"/>
      <c r="N998" s="22"/>
    </row>
    <row r="999">
      <c r="E999" s="22"/>
      <c r="K999" s="22"/>
      <c r="N999" s="22"/>
    </row>
    <row r="1000">
      <c r="E1000" s="22"/>
      <c r="K1000" s="22"/>
      <c r="N1000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221.124</v>
      </c>
      <c r="D1" s="1" t="s">
        <v>2</v>
      </c>
      <c r="E1" s="3">
        <f>SUM(E3:E62)</f>
        <v>109.26</v>
      </c>
      <c r="G1" s="1" t="s">
        <v>4</v>
      </c>
      <c r="H1" s="3">
        <f>SUM(H3:H62)</f>
        <v>0</v>
      </c>
      <c r="J1" s="1" t="s">
        <v>8</v>
      </c>
      <c r="K1" s="3">
        <f>SUM(K3:K62)</f>
        <v>2757.68</v>
      </c>
      <c r="M1" s="1" t="s">
        <v>14</v>
      </c>
      <c r="N1" s="3">
        <f>SUM(N3:N62)</f>
        <v>0</v>
      </c>
    </row>
    <row r="2">
      <c r="A2" s="7" t="s">
        <v>20</v>
      </c>
      <c r="B2" s="8" t="s">
        <v>21</v>
      </c>
      <c r="D2" s="7" t="s">
        <v>20</v>
      </c>
      <c r="E2" s="8" t="s">
        <v>21</v>
      </c>
      <c r="G2" s="7" t="s">
        <v>20</v>
      </c>
      <c r="H2" s="8" t="s">
        <v>21</v>
      </c>
      <c r="J2" s="7" t="s">
        <v>20</v>
      </c>
      <c r="K2" s="8" t="s">
        <v>21</v>
      </c>
      <c r="M2" s="7" t="s">
        <v>20</v>
      </c>
      <c r="N2" s="8" t="s">
        <v>21</v>
      </c>
    </row>
    <row r="3">
      <c r="A3" s="11" t="s">
        <v>182</v>
      </c>
      <c r="B3" s="12">
        <v>50.4</v>
      </c>
      <c r="D3" s="11" t="s">
        <v>183</v>
      </c>
      <c r="E3" s="16">
        <v>53.08</v>
      </c>
      <c r="G3" s="11"/>
      <c r="H3" s="16"/>
      <c r="J3" s="11" t="s">
        <v>178</v>
      </c>
      <c r="K3" s="16">
        <v>50.0</v>
      </c>
      <c r="M3" s="11"/>
      <c r="N3" s="16"/>
    </row>
    <row r="4">
      <c r="A4" s="11" t="s">
        <v>32</v>
      </c>
      <c r="B4" s="12">
        <v>5.17</v>
      </c>
      <c r="D4" s="11"/>
      <c r="E4" s="16">
        <v>56.18</v>
      </c>
      <c r="G4" s="14"/>
      <c r="H4" s="15"/>
      <c r="J4" s="11" t="s">
        <v>184</v>
      </c>
      <c r="K4" s="16">
        <v>118.99</v>
      </c>
      <c r="M4" s="11"/>
      <c r="N4" s="16"/>
    </row>
    <row r="5">
      <c r="A5" s="11" t="s">
        <v>30</v>
      </c>
      <c r="B5" s="12">
        <v>5.09</v>
      </c>
      <c r="D5" s="14"/>
      <c r="E5" s="15"/>
      <c r="G5" s="14"/>
      <c r="H5" s="15"/>
      <c r="J5" s="11" t="s">
        <v>121</v>
      </c>
      <c r="K5" s="16">
        <v>82.19</v>
      </c>
      <c r="M5" s="11"/>
      <c r="N5" s="16"/>
    </row>
    <row r="6">
      <c r="A6" s="11" t="s">
        <v>23</v>
      </c>
      <c r="B6" s="12">
        <v>6.7</v>
      </c>
      <c r="D6" s="14"/>
      <c r="E6" s="15"/>
      <c r="G6" s="14"/>
      <c r="H6" s="15"/>
      <c r="J6" s="11" t="s">
        <v>185</v>
      </c>
      <c r="K6" s="16">
        <v>76.98</v>
      </c>
      <c r="M6" s="11"/>
      <c r="N6" s="16"/>
    </row>
    <row r="7">
      <c r="A7" s="11"/>
      <c r="B7" s="12">
        <v>2.48</v>
      </c>
      <c r="D7" s="14"/>
      <c r="E7" s="15"/>
      <c r="G7" s="14"/>
      <c r="H7" s="15"/>
      <c r="J7" s="11" t="s">
        <v>121</v>
      </c>
      <c r="K7" s="16">
        <v>39.0</v>
      </c>
      <c r="M7" s="11"/>
      <c r="N7" s="16"/>
    </row>
    <row r="8">
      <c r="A8" s="11"/>
      <c r="B8" s="12">
        <v>1.58</v>
      </c>
      <c r="D8" s="14"/>
      <c r="E8" s="15"/>
      <c r="G8" s="14"/>
      <c r="H8" s="15"/>
      <c r="J8" s="11" t="s">
        <v>121</v>
      </c>
      <c r="K8" s="16">
        <v>23.99</v>
      </c>
      <c r="M8" s="14"/>
      <c r="N8" s="15"/>
    </row>
    <row r="9">
      <c r="A9" s="11"/>
      <c r="B9" s="12">
        <v>6.74</v>
      </c>
      <c r="D9" s="14"/>
      <c r="E9" s="15"/>
      <c r="G9" s="14"/>
      <c r="H9" s="15"/>
      <c r="J9" s="11" t="s">
        <v>25</v>
      </c>
      <c r="K9" s="16">
        <v>2.3</v>
      </c>
      <c r="M9" s="14"/>
      <c r="N9" s="15"/>
    </row>
    <row r="10">
      <c r="A10" s="11"/>
      <c r="B10" s="12">
        <v>6.0</v>
      </c>
      <c r="D10" s="14"/>
      <c r="E10" s="15"/>
      <c r="G10" s="14"/>
      <c r="H10" s="15"/>
      <c r="J10" s="11" t="s">
        <v>47</v>
      </c>
      <c r="K10" s="16">
        <v>10.99</v>
      </c>
      <c r="M10" s="14"/>
      <c r="N10" s="15"/>
    </row>
    <row r="11">
      <c r="A11" s="11"/>
      <c r="B11" s="12">
        <v>7.36</v>
      </c>
      <c r="D11" s="14"/>
      <c r="E11" s="15"/>
      <c r="G11" s="14"/>
      <c r="H11" s="15"/>
      <c r="J11" s="11" t="s">
        <v>179</v>
      </c>
      <c r="K11" s="16">
        <v>18.52</v>
      </c>
      <c r="M11" s="14"/>
      <c r="N11" s="15"/>
    </row>
    <row r="12">
      <c r="A12" s="11"/>
      <c r="B12" s="12">
        <v>10.8</v>
      </c>
      <c r="D12" s="14"/>
      <c r="E12" s="15"/>
      <c r="G12" s="14"/>
      <c r="H12" s="15"/>
      <c r="J12" s="11" t="s">
        <v>186</v>
      </c>
      <c r="K12" s="16">
        <v>7.79</v>
      </c>
      <c r="M12" s="14"/>
      <c r="N12" s="15"/>
    </row>
    <row r="13">
      <c r="A13" s="11"/>
      <c r="B13" s="12">
        <v>2.0</v>
      </c>
      <c r="D13" s="14"/>
      <c r="E13" s="15"/>
      <c r="G13" s="14"/>
      <c r="H13" s="15"/>
      <c r="J13" s="11" t="s">
        <v>187</v>
      </c>
      <c r="K13" s="16">
        <v>1146.98</v>
      </c>
      <c r="M13" s="14"/>
      <c r="N13" s="15"/>
    </row>
    <row r="14">
      <c r="A14" s="11"/>
      <c r="B14" s="12">
        <v>5.09</v>
      </c>
      <c r="D14" s="14"/>
      <c r="E14" s="15"/>
      <c r="G14" s="14"/>
      <c r="H14" s="15"/>
      <c r="J14" s="11"/>
      <c r="K14" s="16">
        <v>16.13</v>
      </c>
      <c r="M14" s="14"/>
      <c r="N14" s="15"/>
    </row>
    <row r="15">
      <c r="A15" s="11"/>
      <c r="B15" s="12">
        <v>2.78</v>
      </c>
      <c r="D15" s="14"/>
      <c r="E15" s="15"/>
      <c r="G15" s="14"/>
      <c r="H15" s="15"/>
      <c r="J15" s="11"/>
      <c r="K15" s="16">
        <v>9.48</v>
      </c>
      <c r="M15" s="14"/>
      <c r="N15" s="15"/>
    </row>
    <row r="16">
      <c r="A16" s="11"/>
      <c r="B16" s="12">
        <v>12.34</v>
      </c>
      <c r="D16" s="14"/>
      <c r="E16" s="15"/>
      <c r="G16" s="14"/>
      <c r="H16" s="15"/>
      <c r="J16" s="11" t="s">
        <v>121</v>
      </c>
      <c r="K16" s="16">
        <v>24.0</v>
      </c>
      <c r="M16" s="14"/>
      <c r="N16" s="15"/>
    </row>
    <row r="17">
      <c r="A17" s="11"/>
      <c r="B17" s="12">
        <v>0.98</v>
      </c>
      <c r="D17" s="14"/>
      <c r="E17" s="15"/>
      <c r="G17" s="14"/>
      <c r="H17" s="15"/>
      <c r="J17" s="11"/>
      <c r="K17" s="16">
        <v>0.99</v>
      </c>
      <c r="M17" s="14"/>
      <c r="N17" s="15"/>
    </row>
    <row r="18">
      <c r="A18" s="11"/>
      <c r="B18" s="12">
        <v>3.33</v>
      </c>
      <c r="D18" s="14"/>
      <c r="E18" s="15"/>
      <c r="G18" s="14"/>
      <c r="H18" s="15"/>
      <c r="J18" s="11"/>
      <c r="K18" s="16">
        <v>12.88</v>
      </c>
      <c r="M18" s="14"/>
      <c r="N18" s="15"/>
    </row>
    <row r="19">
      <c r="A19" s="11"/>
      <c r="B19" s="12">
        <v>6.46</v>
      </c>
      <c r="D19" s="14"/>
      <c r="E19" s="15"/>
      <c r="G19" s="14"/>
      <c r="H19" s="15"/>
      <c r="J19" s="11"/>
      <c r="K19" s="16">
        <v>9.99</v>
      </c>
      <c r="M19" s="14"/>
      <c r="N19" s="15"/>
    </row>
    <row r="20">
      <c r="A20" s="11"/>
      <c r="B20" s="12">
        <v>6.2</v>
      </c>
      <c r="D20" s="14"/>
      <c r="E20" s="15"/>
      <c r="G20" s="14"/>
      <c r="H20" s="15"/>
      <c r="J20" s="11"/>
      <c r="K20" s="16">
        <v>14.99</v>
      </c>
      <c r="M20" s="14"/>
      <c r="N20" s="15"/>
    </row>
    <row r="21">
      <c r="A21" s="11"/>
      <c r="B21" s="12">
        <v>7.86</v>
      </c>
      <c r="D21" s="14"/>
      <c r="E21" s="15"/>
      <c r="G21" s="14"/>
      <c r="H21" s="15"/>
      <c r="J21" s="11"/>
      <c r="K21" s="16">
        <v>88.99</v>
      </c>
      <c r="M21" s="14"/>
      <c r="N21" s="15"/>
    </row>
    <row r="22">
      <c r="A22" s="11"/>
      <c r="B22" s="12">
        <v>6.01</v>
      </c>
      <c r="D22" s="14"/>
      <c r="E22" s="15"/>
      <c r="G22" s="14"/>
      <c r="H22" s="15"/>
      <c r="J22" s="11"/>
      <c r="K22" s="16">
        <v>169.96</v>
      </c>
      <c r="M22" s="14"/>
      <c r="N22" s="15"/>
    </row>
    <row r="23">
      <c r="A23" s="11"/>
      <c r="B23" s="12">
        <v>6.08</v>
      </c>
      <c r="D23" s="14"/>
      <c r="E23" s="15"/>
      <c r="G23" s="14"/>
      <c r="H23" s="15"/>
      <c r="J23" s="11"/>
      <c r="K23" s="16">
        <v>10.99</v>
      </c>
      <c r="M23" s="14"/>
      <c r="N23" s="15"/>
    </row>
    <row r="24">
      <c r="A24" s="11"/>
      <c r="B24" s="12">
        <v>1.65</v>
      </c>
      <c r="D24" s="14"/>
      <c r="E24" s="15"/>
      <c r="G24" s="14"/>
      <c r="H24" s="15"/>
      <c r="J24" s="11"/>
      <c r="K24" s="16">
        <v>6.05</v>
      </c>
      <c r="M24" s="14"/>
      <c r="N24" s="15"/>
    </row>
    <row r="25">
      <c r="A25" s="11"/>
      <c r="B25" s="12">
        <v>5.59</v>
      </c>
      <c r="D25" s="14"/>
      <c r="E25" s="15"/>
      <c r="G25" s="14"/>
      <c r="H25" s="15"/>
      <c r="J25" s="11"/>
      <c r="K25" s="16">
        <v>60.0</v>
      </c>
      <c r="M25" s="14"/>
      <c r="N25" s="15"/>
    </row>
    <row r="26">
      <c r="A26" s="11"/>
      <c r="B26" s="12">
        <v>19.61</v>
      </c>
      <c r="D26" s="14"/>
      <c r="E26" s="15"/>
      <c r="G26" s="14"/>
      <c r="H26" s="15"/>
      <c r="J26" s="14"/>
      <c r="K26" s="16">
        <v>6.07</v>
      </c>
      <c r="M26" s="14"/>
      <c r="N26" s="15"/>
    </row>
    <row r="27">
      <c r="A27" s="11"/>
      <c r="B27" s="12">
        <v>2.434</v>
      </c>
      <c r="D27" s="14"/>
      <c r="E27" s="15"/>
      <c r="G27" s="14"/>
      <c r="H27" s="15"/>
      <c r="J27" s="14"/>
      <c r="K27" s="16">
        <v>109.15</v>
      </c>
      <c r="M27" s="14"/>
      <c r="N27" s="15"/>
    </row>
    <row r="28">
      <c r="A28" s="11"/>
      <c r="B28" s="12">
        <v>6.0</v>
      </c>
      <c r="D28" s="14"/>
      <c r="E28" s="15"/>
      <c r="G28" s="14"/>
      <c r="H28" s="15"/>
      <c r="J28" s="14"/>
      <c r="K28" s="16">
        <v>87.1</v>
      </c>
      <c r="M28" s="14"/>
      <c r="N28" s="15"/>
    </row>
    <row r="29">
      <c r="A29" s="11"/>
      <c r="B29" s="12">
        <v>2.88</v>
      </c>
      <c r="D29" s="14"/>
      <c r="E29" s="15"/>
      <c r="G29" s="14"/>
      <c r="H29" s="15"/>
      <c r="J29" s="14"/>
      <c r="K29" s="16">
        <v>9.99</v>
      </c>
      <c r="M29" s="14"/>
      <c r="N29" s="15"/>
    </row>
    <row r="30">
      <c r="A30" s="11"/>
      <c r="B30" s="12">
        <v>21.51</v>
      </c>
      <c r="D30" s="14"/>
      <c r="E30" s="15"/>
      <c r="G30" s="14"/>
      <c r="H30" s="15"/>
      <c r="J30" s="14"/>
      <c r="K30" s="16">
        <v>24.21</v>
      </c>
      <c r="M30" s="14"/>
      <c r="N30" s="15"/>
    </row>
    <row r="31">
      <c r="A31" s="11"/>
      <c r="B31" s="12"/>
      <c r="D31" s="14"/>
      <c r="E31" s="15"/>
      <c r="G31" s="14"/>
      <c r="H31" s="15"/>
      <c r="J31" s="14"/>
      <c r="K31" s="16">
        <v>2.99</v>
      </c>
      <c r="M31" s="14"/>
      <c r="N31" s="15"/>
    </row>
    <row r="32">
      <c r="A32" s="11"/>
      <c r="B32" s="12"/>
      <c r="D32" s="14"/>
      <c r="E32" s="15"/>
      <c r="G32" s="14"/>
      <c r="H32" s="15"/>
      <c r="J32" s="14"/>
      <c r="K32" s="16">
        <v>15.99</v>
      </c>
      <c r="M32" s="14"/>
      <c r="N32" s="15"/>
    </row>
    <row r="33">
      <c r="A33" s="11"/>
      <c r="B33" s="12"/>
      <c r="D33" s="14"/>
      <c r="E33" s="15"/>
      <c r="G33" s="14"/>
      <c r="H33" s="15"/>
      <c r="J33" s="14"/>
      <c r="K33" s="16">
        <v>500.0</v>
      </c>
      <c r="M33" s="14"/>
      <c r="N33" s="15"/>
    </row>
    <row r="34">
      <c r="A34" s="11"/>
      <c r="B34" s="12"/>
      <c r="D34" s="14"/>
      <c r="E34" s="15"/>
      <c r="G34" s="14"/>
      <c r="H34" s="15"/>
      <c r="J34" s="14"/>
      <c r="K34" s="15"/>
      <c r="M34" s="14"/>
      <c r="N34" s="15"/>
    </row>
    <row r="35">
      <c r="A35" s="11"/>
      <c r="B35" s="12"/>
      <c r="D35" s="14"/>
      <c r="E35" s="15"/>
      <c r="G35" s="14"/>
      <c r="H35" s="15"/>
      <c r="J35" s="14"/>
      <c r="K35" s="15"/>
      <c r="M35" s="14"/>
      <c r="N35" s="15"/>
    </row>
    <row r="36">
      <c r="A36" s="11"/>
      <c r="B36" s="12"/>
      <c r="D36" s="14"/>
      <c r="E36" s="15"/>
      <c r="G36" s="14"/>
      <c r="H36" s="15"/>
      <c r="J36" s="14"/>
      <c r="K36" s="15"/>
      <c r="M36" s="14"/>
      <c r="N36" s="15"/>
    </row>
    <row r="37">
      <c r="A37" s="11"/>
      <c r="B37" s="12"/>
      <c r="D37" s="14"/>
      <c r="E37" s="15"/>
      <c r="G37" s="14"/>
      <c r="H37" s="15"/>
      <c r="J37" s="14"/>
      <c r="K37" s="15"/>
      <c r="M37" s="14"/>
      <c r="N37" s="15"/>
    </row>
    <row r="38">
      <c r="A38" s="11"/>
      <c r="B38" s="23"/>
      <c r="D38" s="14"/>
      <c r="E38" s="15"/>
      <c r="G38" s="14"/>
      <c r="H38" s="15"/>
      <c r="J38" s="14"/>
      <c r="K38" s="15"/>
      <c r="M38" s="14"/>
      <c r="N38" s="15"/>
    </row>
    <row r="39">
      <c r="A39" s="11"/>
      <c r="B39" s="12"/>
      <c r="D39" s="14"/>
      <c r="E39" s="15"/>
      <c r="G39" s="14"/>
      <c r="H39" s="15"/>
      <c r="J39" s="14"/>
      <c r="K39" s="15"/>
      <c r="M39" s="14"/>
      <c r="N39" s="15"/>
    </row>
    <row r="40">
      <c r="A40" s="11"/>
      <c r="B40" s="12"/>
      <c r="D40" s="14"/>
      <c r="E40" s="15"/>
      <c r="G40" s="14"/>
      <c r="H40" s="15"/>
      <c r="J40" s="14"/>
      <c r="K40" s="15"/>
      <c r="M40" s="14"/>
      <c r="N40" s="15"/>
    </row>
    <row r="41">
      <c r="A41" s="11"/>
      <c r="B41" s="12"/>
      <c r="D41" s="14"/>
      <c r="E41" s="15"/>
      <c r="G41" s="14"/>
      <c r="H41" s="15"/>
      <c r="J41" s="14"/>
      <c r="K41" s="15"/>
      <c r="M41" s="14"/>
      <c r="N41" s="15"/>
    </row>
    <row r="42">
      <c r="A42" s="11"/>
      <c r="B42" s="12"/>
      <c r="D42" s="14"/>
      <c r="E42" s="15"/>
      <c r="G42" s="14"/>
      <c r="H42" s="15"/>
      <c r="J42" s="14"/>
      <c r="K42" s="15"/>
      <c r="M42" s="14"/>
      <c r="N42" s="15"/>
    </row>
    <row r="43">
      <c r="A43" s="11"/>
      <c r="B43" s="12"/>
      <c r="D43" s="14"/>
      <c r="E43" s="15"/>
      <c r="G43" s="14"/>
      <c r="H43" s="15"/>
      <c r="J43" s="14"/>
      <c r="K43" s="15"/>
      <c r="M43" s="14"/>
      <c r="N43" s="15"/>
    </row>
    <row r="44">
      <c r="A44" s="14"/>
      <c r="B44" s="23"/>
      <c r="D44" s="14"/>
      <c r="E44" s="15"/>
      <c r="G44" s="14"/>
      <c r="H44" s="15"/>
      <c r="J44" s="14"/>
      <c r="K44" s="15"/>
      <c r="M44" s="14"/>
      <c r="N44" s="15"/>
    </row>
    <row r="45">
      <c r="A45" s="14"/>
      <c r="B45" s="23"/>
      <c r="D45" s="14"/>
      <c r="E45" s="15"/>
      <c r="G45" s="14"/>
      <c r="H45" s="15"/>
      <c r="J45" s="14"/>
      <c r="K45" s="15"/>
      <c r="M45" s="14"/>
      <c r="N45" s="15"/>
    </row>
    <row r="46">
      <c r="A46" s="14"/>
      <c r="B46" s="23"/>
      <c r="D46" s="14"/>
      <c r="E46" s="15"/>
      <c r="G46" s="14"/>
      <c r="H46" s="15"/>
      <c r="J46" s="14"/>
      <c r="K46" s="15"/>
      <c r="M46" s="14"/>
      <c r="N46" s="15"/>
    </row>
    <row r="47">
      <c r="A47" s="14"/>
      <c r="B47" s="23"/>
      <c r="D47" s="14"/>
      <c r="E47" s="15"/>
      <c r="G47" s="14"/>
      <c r="H47" s="15"/>
      <c r="J47" s="14"/>
      <c r="K47" s="15"/>
      <c r="M47" s="14"/>
      <c r="N47" s="15"/>
    </row>
    <row r="48">
      <c r="A48" s="14"/>
      <c r="B48" s="23"/>
      <c r="D48" s="14"/>
      <c r="E48" s="15"/>
      <c r="G48" s="14"/>
      <c r="H48" s="15"/>
      <c r="J48" s="14"/>
      <c r="K48" s="15"/>
      <c r="M48" s="14"/>
      <c r="N48" s="15"/>
    </row>
    <row r="49">
      <c r="A49" s="14"/>
      <c r="B49" s="23"/>
      <c r="D49" s="14"/>
      <c r="E49" s="15"/>
      <c r="G49" s="14"/>
      <c r="H49" s="15"/>
      <c r="J49" s="14"/>
      <c r="K49" s="15"/>
      <c r="M49" s="14"/>
      <c r="N49" s="15"/>
    </row>
    <row r="50">
      <c r="A50" s="14"/>
      <c r="B50" s="23"/>
      <c r="D50" s="14"/>
      <c r="E50" s="15"/>
      <c r="G50" s="14"/>
      <c r="H50" s="15"/>
      <c r="J50" s="14"/>
      <c r="K50" s="15"/>
      <c r="M50" s="14"/>
      <c r="N50" s="15"/>
    </row>
    <row r="51">
      <c r="A51" s="14"/>
      <c r="B51" s="23"/>
      <c r="D51" s="14"/>
      <c r="E51" s="15"/>
      <c r="G51" s="14"/>
      <c r="H51" s="15"/>
      <c r="J51" s="14"/>
      <c r="K51" s="15"/>
      <c r="M51" s="14"/>
      <c r="N51" s="15"/>
    </row>
    <row r="52">
      <c r="A52" s="14"/>
      <c r="B52" s="23"/>
      <c r="D52" s="14"/>
      <c r="E52" s="15"/>
      <c r="G52" s="14"/>
      <c r="H52" s="15"/>
      <c r="J52" s="14"/>
      <c r="K52" s="15"/>
      <c r="M52" s="14"/>
      <c r="N52" s="15"/>
    </row>
    <row r="53">
      <c r="A53" s="14"/>
      <c r="B53" s="23"/>
      <c r="D53" s="14"/>
      <c r="E53" s="15"/>
      <c r="G53" s="14"/>
      <c r="H53" s="15"/>
      <c r="J53" s="14"/>
      <c r="K53" s="15"/>
      <c r="M53" s="14"/>
      <c r="N53" s="15"/>
    </row>
    <row r="54">
      <c r="A54" s="14"/>
      <c r="B54" s="23"/>
      <c r="D54" s="14"/>
      <c r="E54" s="15"/>
      <c r="G54" s="14"/>
      <c r="H54" s="15"/>
      <c r="J54" s="14"/>
      <c r="K54" s="15"/>
      <c r="M54" s="14"/>
      <c r="N54" s="15"/>
    </row>
    <row r="55">
      <c r="A55" s="14"/>
      <c r="B55" s="23"/>
      <c r="D55" s="14"/>
      <c r="E55" s="15"/>
      <c r="G55" s="14"/>
      <c r="H55" s="15"/>
      <c r="J55" s="14"/>
      <c r="K55" s="15"/>
      <c r="M55" s="14"/>
      <c r="N55" s="15"/>
    </row>
    <row r="56">
      <c r="A56" s="14"/>
      <c r="B56" s="23"/>
      <c r="D56" s="14"/>
      <c r="E56" s="15"/>
      <c r="G56" s="14"/>
      <c r="H56" s="15"/>
      <c r="J56" s="14"/>
      <c r="K56" s="15"/>
      <c r="M56" s="14"/>
      <c r="N56" s="15"/>
    </row>
    <row r="57">
      <c r="A57" s="14"/>
      <c r="B57" s="23"/>
      <c r="D57" s="14"/>
      <c r="E57" s="15"/>
      <c r="G57" s="14"/>
      <c r="H57" s="15"/>
      <c r="J57" s="14"/>
      <c r="K57" s="15"/>
      <c r="M57" s="14"/>
      <c r="N57" s="15"/>
    </row>
    <row r="58">
      <c r="A58" s="14"/>
      <c r="B58" s="23"/>
      <c r="D58" s="14"/>
      <c r="E58" s="15"/>
      <c r="G58" s="14"/>
      <c r="H58" s="15"/>
      <c r="J58" s="14"/>
      <c r="K58" s="15"/>
      <c r="M58" s="14"/>
      <c r="N58" s="15"/>
    </row>
    <row r="59">
      <c r="A59" s="14"/>
      <c r="B59" s="23"/>
      <c r="D59" s="14"/>
      <c r="E59" s="15"/>
      <c r="G59" s="14"/>
      <c r="H59" s="15"/>
      <c r="J59" s="14"/>
      <c r="K59" s="15"/>
      <c r="M59" s="14"/>
      <c r="N59" s="15"/>
    </row>
    <row r="60">
      <c r="A60" s="14"/>
      <c r="B60" s="23"/>
      <c r="D60" s="14"/>
      <c r="E60" s="15"/>
      <c r="G60" s="14"/>
      <c r="H60" s="15"/>
      <c r="J60" s="14"/>
      <c r="K60" s="15"/>
      <c r="M60" s="14"/>
      <c r="N60" s="15"/>
    </row>
    <row r="61">
      <c r="A61" s="14"/>
      <c r="B61" s="23"/>
      <c r="D61" s="14"/>
      <c r="E61" s="15"/>
      <c r="G61" s="14"/>
      <c r="H61" s="15"/>
      <c r="J61" s="14"/>
      <c r="K61" s="15"/>
      <c r="M61" s="14"/>
      <c r="N61" s="15"/>
    </row>
    <row r="62">
      <c r="A62" s="33"/>
      <c r="B62" s="34"/>
      <c r="D62" s="33"/>
      <c r="E62" s="35"/>
      <c r="G62" s="33"/>
      <c r="H62" s="35"/>
      <c r="J62" s="33"/>
      <c r="K62" s="35"/>
      <c r="M62" s="33"/>
      <c r="N62" s="3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363.51</v>
      </c>
      <c r="D1" s="1" t="s">
        <v>2</v>
      </c>
      <c r="E1" s="3">
        <f>SUM(E3:E62)</f>
        <v>156.44</v>
      </c>
      <c r="G1" s="1" t="s">
        <v>4</v>
      </c>
      <c r="H1" s="3">
        <f>SUM(H3:H62)</f>
        <v>0</v>
      </c>
      <c r="J1" s="1" t="s">
        <v>8</v>
      </c>
      <c r="K1" s="3">
        <f>SUM(K3:K62)</f>
        <v>1965.62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20" t="s">
        <v>21</v>
      </c>
      <c r="G2" s="7" t="s">
        <v>20</v>
      </c>
      <c r="H2" s="8" t="s">
        <v>21</v>
      </c>
      <c r="J2" s="7" t="s">
        <v>20</v>
      </c>
      <c r="K2" s="20" t="s">
        <v>21</v>
      </c>
      <c r="M2" s="7" t="s">
        <v>20</v>
      </c>
      <c r="N2" s="8" t="s">
        <v>21</v>
      </c>
    </row>
    <row r="3">
      <c r="A3" s="11"/>
      <c r="B3" s="12">
        <v>5.33</v>
      </c>
      <c r="D3" s="11"/>
      <c r="E3" s="12">
        <v>56.69</v>
      </c>
      <c r="G3" s="14"/>
      <c r="H3" s="15"/>
      <c r="J3" s="11"/>
      <c r="K3" s="12">
        <v>26.95</v>
      </c>
      <c r="M3" s="11"/>
      <c r="N3" s="16"/>
    </row>
    <row r="4">
      <c r="A4" s="11"/>
      <c r="B4" s="12">
        <v>39.8</v>
      </c>
      <c r="D4" s="11"/>
      <c r="E4" s="12">
        <v>69.75</v>
      </c>
      <c r="G4" s="14"/>
      <c r="H4" s="15"/>
      <c r="J4" s="11"/>
      <c r="K4" s="12">
        <v>59.49</v>
      </c>
      <c r="M4" s="11"/>
      <c r="N4" s="16"/>
    </row>
    <row r="5">
      <c r="A5" s="11"/>
      <c r="B5" s="12">
        <v>3.48</v>
      </c>
      <c r="D5" s="11"/>
      <c r="E5" s="12">
        <v>30.0</v>
      </c>
      <c r="G5" s="14"/>
      <c r="H5" s="15"/>
      <c r="J5" s="11"/>
      <c r="K5" s="12">
        <v>28.19</v>
      </c>
      <c r="M5" s="14"/>
      <c r="N5" s="15"/>
    </row>
    <row r="6">
      <c r="A6" s="11"/>
      <c r="B6" s="12">
        <v>7.18</v>
      </c>
      <c r="D6" s="14"/>
      <c r="E6" s="23"/>
      <c r="G6" s="14"/>
      <c r="H6" s="15"/>
      <c r="J6" s="11"/>
      <c r="K6" s="12">
        <v>50.0</v>
      </c>
      <c r="M6" s="14"/>
      <c r="N6" s="15"/>
    </row>
    <row r="7">
      <c r="A7" s="11"/>
      <c r="B7" s="12">
        <v>9.17</v>
      </c>
      <c r="D7" s="14"/>
      <c r="E7" s="23"/>
      <c r="G7" s="14"/>
      <c r="H7" s="15"/>
      <c r="J7" s="11"/>
      <c r="K7" s="12">
        <v>6.95</v>
      </c>
      <c r="M7" s="14"/>
      <c r="N7" s="15"/>
    </row>
    <row r="8">
      <c r="A8" s="11"/>
      <c r="B8" s="12">
        <v>5.45</v>
      </c>
      <c r="D8" s="14"/>
      <c r="E8" s="23"/>
      <c r="G8" s="14"/>
      <c r="H8" s="15"/>
      <c r="J8" s="11"/>
      <c r="K8" s="12">
        <v>200.0</v>
      </c>
      <c r="M8" s="14"/>
      <c r="N8" s="15"/>
    </row>
    <row r="9">
      <c r="A9" s="11"/>
      <c r="B9" s="12">
        <v>2.93</v>
      </c>
      <c r="D9" s="14"/>
      <c r="E9" s="23"/>
      <c r="G9" s="14"/>
      <c r="H9" s="15"/>
      <c r="J9" s="11"/>
      <c r="K9" s="12">
        <v>21.2</v>
      </c>
      <c r="M9" s="14"/>
      <c r="N9" s="15"/>
    </row>
    <row r="10">
      <c r="A10" s="11"/>
      <c r="B10" s="12">
        <v>4.99</v>
      </c>
      <c r="D10" s="14"/>
      <c r="E10" s="23"/>
      <c r="G10" s="14"/>
      <c r="H10" s="15"/>
      <c r="J10" s="11"/>
      <c r="K10" s="12">
        <v>21.99</v>
      </c>
      <c r="M10" s="14"/>
      <c r="N10" s="15"/>
    </row>
    <row r="11">
      <c r="A11" s="11"/>
      <c r="B11" s="12">
        <v>6.33</v>
      </c>
      <c r="D11" s="14"/>
      <c r="E11" s="23"/>
      <c r="G11" s="14"/>
      <c r="H11" s="15"/>
      <c r="J11" s="11"/>
      <c r="K11" s="12">
        <v>4.99</v>
      </c>
      <c r="M11" s="14"/>
      <c r="N11" s="15"/>
    </row>
    <row r="12">
      <c r="A12" s="11"/>
      <c r="B12" s="12">
        <v>4.95</v>
      </c>
      <c r="D12" s="14"/>
      <c r="E12" s="23"/>
      <c r="G12" s="14"/>
      <c r="H12" s="15"/>
      <c r="J12" s="11"/>
      <c r="K12" s="12">
        <v>24.24</v>
      </c>
      <c r="M12" s="14"/>
      <c r="N12" s="15"/>
    </row>
    <row r="13">
      <c r="A13" s="11"/>
      <c r="B13" s="12">
        <v>5.09</v>
      </c>
      <c r="D13" s="14"/>
      <c r="E13" s="23"/>
      <c r="G13" s="14"/>
      <c r="H13" s="15"/>
      <c r="J13" s="11"/>
      <c r="K13" s="12">
        <v>69.9</v>
      </c>
      <c r="M13" s="14"/>
      <c r="N13" s="15"/>
    </row>
    <row r="14">
      <c r="A14" s="11"/>
      <c r="B14" s="12">
        <v>4.62</v>
      </c>
      <c r="D14" s="14"/>
      <c r="E14" s="23"/>
      <c r="G14" s="14"/>
      <c r="H14" s="15"/>
      <c r="J14" s="11"/>
      <c r="K14" s="12">
        <v>50.0</v>
      </c>
      <c r="M14" s="14"/>
      <c r="N14" s="15"/>
    </row>
    <row r="15">
      <c r="A15" s="11"/>
      <c r="B15" s="12">
        <v>4.08</v>
      </c>
      <c r="D15" s="14"/>
      <c r="E15" s="23"/>
      <c r="G15" s="14"/>
      <c r="H15" s="15"/>
      <c r="J15" s="11"/>
      <c r="K15" s="12">
        <v>6.07</v>
      </c>
      <c r="M15" s="14"/>
      <c r="N15" s="15"/>
    </row>
    <row r="16">
      <c r="A16" s="11"/>
      <c r="B16" s="12">
        <v>16.0</v>
      </c>
      <c r="D16" s="14"/>
      <c r="E16" s="23"/>
      <c r="G16" s="14"/>
      <c r="H16" s="15"/>
      <c r="J16" s="11"/>
      <c r="K16" s="12">
        <v>1.0</v>
      </c>
      <c r="M16" s="14"/>
      <c r="N16" s="15"/>
    </row>
    <row r="17">
      <c r="A17" s="11"/>
      <c r="B17" s="12">
        <v>29.0</v>
      </c>
      <c r="D17" s="14"/>
      <c r="E17" s="23"/>
      <c r="G17" s="14"/>
      <c r="H17" s="15"/>
      <c r="J17" s="11"/>
      <c r="K17" s="12">
        <v>103.0</v>
      </c>
      <c r="M17" s="14"/>
      <c r="N17" s="15"/>
    </row>
    <row r="18">
      <c r="A18" s="11"/>
      <c r="B18" s="12">
        <v>5.58</v>
      </c>
      <c r="D18" s="14"/>
      <c r="E18" s="23"/>
      <c r="G18" s="14"/>
      <c r="H18" s="15"/>
      <c r="J18" s="11"/>
      <c r="K18" s="12">
        <v>7.95</v>
      </c>
      <c r="M18" s="14"/>
      <c r="N18" s="15"/>
    </row>
    <row r="19">
      <c r="A19" s="11"/>
      <c r="B19" s="12">
        <v>6.08</v>
      </c>
      <c r="D19" s="14"/>
      <c r="E19" s="23"/>
      <c r="G19" s="14"/>
      <c r="H19" s="15"/>
      <c r="J19" s="11"/>
      <c r="K19" s="12">
        <v>11.04</v>
      </c>
      <c r="M19" s="14"/>
      <c r="N19" s="15"/>
    </row>
    <row r="20">
      <c r="A20" s="11"/>
      <c r="B20" s="12">
        <v>35.0</v>
      </c>
      <c r="D20" s="14"/>
      <c r="E20" s="23"/>
      <c r="G20" s="14"/>
      <c r="H20" s="15"/>
      <c r="J20" s="11"/>
      <c r="K20" s="12">
        <v>3.99</v>
      </c>
      <c r="M20" s="14"/>
      <c r="N20" s="15"/>
    </row>
    <row r="21">
      <c r="A21" s="11"/>
      <c r="B21" s="12">
        <v>7.5</v>
      </c>
      <c r="D21" s="14"/>
      <c r="E21" s="23"/>
      <c r="G21" s="14"/>
      <c r="H21" s="15"/>
      <c r="J21" s="11"/>
      <c r="K21" s="12">
        <v>9.49</v>
      </c>
      <c r="M21" s="14"/>
      <c r="N21" s="15"/>
    </row>
    <row r="22">
      <c r="A22" s="11"/>
      <c r="B22" s="12">
        <v>3.76</v>
      </c>
      <c r="D22" s="14"/>
      <c r="E22" s="23"/>
      <c r="G22" s="14"/>
      <c r="H22" s="15"/>
      <c r="J22" s="11"/>
      <c r="K22" s="12">
        <v>9.67</v>
      </c>
      <c r="M22" s="14"/>
      <c r="N22" s="15"/>
    </row>
    <row r="23">
      <c r="A23" s="11"/>
      <c r="B23" s="12">
        <v>4.44</v>
      </c>
      <c r="D23" s="14"/>
      <c r="E23" s="23"/>
      <c r="G23" s="14"/>
      <c r="H23" s="15"/>
      <c r="J23" s="11"/>
      <c r="K23" s="12">
        <v>18.99</v>
      </c>
      <c r="M23" s="14"/>
      <c r="N23" s="15"/>
    </row>
    <row r="24">
      <c r="A24" s="11"/>
      <c r="B24" s="12">
        <v>6.67</v>
      </c>
      <c r="D24" s="14"/>
      <c r="E24" s="23"/>
      <c r="G24" s="14"/>
      <c r="H24" s="15"/>
      <c r="J24" s="11"/>
      <c r="K24" s="12">
        <v>5.38</v>
      </c>
      <c r="M24" s="14"/>
      <c r="N24" s="15"/>
    </row>
    <row r="25">
      <c r="A25" s="11"/>
      <c r="B25" s="12">
        <v>17.3</v>
      </c>
      <c r="D25" s="14"/>
      <c r="E25" s="23"/>
      <c r="G25" s="14"/>
      <c r="H25" s="15"/>
      <c r="J25" s="14"/>
      <c r="K25" s="12">
        <v>21.42</v>
      </c>
      <c r="M25" s="14"/>
      <c r="N25" s="15"/>
    </row>
    <row r="26">
      <c r="A26" s="11"/>
      <c r="B26" s="12">
        <v>2.75</v>
      </c>
      <c r="D26" s="14"/>
      <c r="E26" s="23"/>
      <c r="G26" s="14"/>
      <c r="H26" s="15"/>
      <c r="J26" s="14"/>
      <c r="K26" s="12">
        <v>90.93</v>
      </c>
      <c r="M26" s="14"/>
      <c r="N26" s="15"/>
    </row>
    <row r="27">
      <c r="A27" s="11"/>
      <c r="B27" s="12">
        <v>3.24</v>
      </c>
      <c r="D27" s="14"/>
      <c r="E27" s="23"/>
      <c r="G27" s="14"/>
      <c r="H27" s="15"/>
      <c r="J27" s="14"/>
      <c r="K27" s="12">
        <v>7.55</v>
      </c>
      <c r="M27" s="14"/>
      <c r="N27" s="15"/>
    </row>
    <row r="28">
      <c r="A28" s="11"/>
      <c r="B28" s="12">
        <v>7.09</v>
      </c>
      <c r="D28" s="14"/>
      <c r="E28" s="23"/>
      <c r="G28" s="14"/>
      <c r="H28" s="15"/>
      <c r="J28" s="14"/>
      <c r="K28" s="12">
        <v>20.34</v>
      </c>
      <c r="M28" s="14"/>
      <c r="N28" s="15"/>
    </row>
    <row r="29">
      <c r="A29" s="11"/>
      <c r="B29" s="12">
        <v>5.17</v>
      </c>
      <c r="D29" s="14"/>
      <c r="E29" s="23"/>
      <c r="G29" s="14"/>
      <c r="H29" s="15"/>
      <c r="J29" s="14"/>
      <c r="K29" s="12">
        <v>9.07</v>
      </c>
      <c r="M29" s="14"/>
      <c r="N29" s="15"/>
    </row>
    <row r="30">
      <c r="A30" s="11"/>
      <c r="B30" s="12">
        <v>3.04</v>
      </c>
      <c r="D30" s="14"/>
      <c r="E30" s="23"/>
      <c r="G30" s="14"/>
      <c r="H30" s="15"/>
      <c r="J30" s="14"/>
      <c r="K30" s="12">
        <v>14.99</v>
      </c>
      <c r="M30" s="14"/>
      <c r="N30" s="15"/>
    </row>
    <row r="31">
      <c r="A31" s="11"/>
      <c r="B31" s="12">
        <v>7.85</v>
      </c>
      <c r="D31" s="14"/>
      <c r="E31" s="23"/>
      <c r="G31" s="14"/>
      <c r="H31" s="15"/>
      <c r="J31" s="14"/>
      <c r="K31" s="12">
        <v>39.89</v>
      </c>
      <c r="M31" s="14"/>
      <c r="N31" s="15"/>
    </row>
    <row r="32">
      <c r="A32" s="11"/>
      <c r="B32" s="12">
        <v>1.25</v>
      </c>
      <c r="D32" s="14"/>
      <c r="E32" s="23"/>
      <c r="G32" s="14"/>
      <c r="H32" s="15"/>
      <c r="J32" s="14"/>
      <c r="K32" s="12">
        <v>12.0</v>
      </c>
      <c r="M32" s="14"/>
      <c r="N32" s="15"/>
    </row>
    <row r="33">
      <c r="A33" s="11"/>
      <c r="B33" s="12">
        <v>4.08</v>
      </c>
      <c r="D33" s="14"/>
      <c r="E33" s="23"/>
      <c r="G33" s="14"/>
      <c r="H33" s="15"/>
      <c r="J33" s="14"/>
      <c r="K33" s="12">
        <v>3.02</v>
      </c>
      <c r="M33" s="14"/>
      <c r="N33" s="15"/>
    </row>
    <row r="34">
      <c r="A34" s="11"/>
      <c r="B34" s="12">
        <v>4.36</v>
      </c>
      <c r="D34" s="14"/>
      <c r="E34" s="23"/>
      <c r="G34" s="14"/>
      <c r="H34" s="15"/>
      <c r="J34" s="14"/>
      <c r="K34" s="12">
        <v>34.99</v>
      </c>
      <c r="M34" s="14"/>
      <c r="N34" s="15"/>
    </row>
    <row r="35">
      <c r="A35" s="11"/>
      <c r="B35" s="12">
        <v>3.68</v>
      </c>
      <c r="D35" s="14"/>
      <c r="E35" s="23"/>
      <c r="G35" s="14"/>
      <c r="H35" s="15"/>
      <c r="J35" s="14"/>
      <c r="K35" s="12">
        <v>33.86</v>
      </c>
      <c r="M35" s="14"/>
      <c r="N35" s="15"/>
    </row>
    <row r="36">
      <c r="A36" s="11"/>
      <c r="B36" s="12">
        <v>7.36</v>
      </c>
      <c r="D36" s="14"/>
      <c r="E36" s="23"/>
      <c r="G36" s="14"/>
      <c r="H36" s="15"/>
      <c r="J36" s="14"/>
      <c r="K36" s="12">
        <v>7.49</v>
      </c>
      <c r="M36" s="14"/>
      <c r="N36" s="15"/>
    </row>
    <row r="37">
      <c r="A37" s="11"/>
      <c r="B37" s="12">
        <v>4.6</v>
      </c>
      <c r="D37" s="14"/>
      <c r="E37" s="23"/>
      <c r="G37" s="14"/>
      <c r="H37" s="15"/>
      <c r="J37" s="14"/>
      <c r="K37" s="12">
        <v>42.49</v>
      </c>
      <c r="M37" s="14"/>
      <c r="N37" s="15"/>
    </row>
    <row r="38">
      <c r="A38" s="11"/>
      <c r="B38" s="12">
        <v>14.01</v>
      </c>
      <c r="D38" s="14"/>
      <c r="E38" s="23"/>
      <c r="G38" s="14"/>
      <c r="H38" s="15"/>
      <c r="J38" s="14"/>
      <c r="K38" s="12">
        <v>50.0</v>
      </c>
      <c r="M38" s="14"/>
      <c r="N38" s="15"/>
    </row>
    <row r="39">
      <c r="A39" s="14"/>
      <c r="B39" s="12">
        <v>4.6</v>
      </c>
      <c r="D39" s="14"/>
      <c r="E39" s="23"/>
      <c r="G39" s="14"/>
      <c r="H39" s="15"/>
      <c r="J39" s="14"/>
      <c r="K39" s="12">
        <v>86.51</v>
      </c>
      <c r="M39" s="14"/>
      <c r="N39" s="15"/>
    </row>
    <row r="40">
      <c r="A40" s="14"/>
      <c r="B40" s="12">
        <v>4.29</v>
      </c>
      <c r="D40" s="14"/>
      <c r="E40" s="23"/>
      <c r="G40" s="14"/>
      <c r="H40" s="15"/>
      <c r="J40" s="14"/>
      <c r="K40" s="12">
        <v>15.89</v>
      </c>
      <c r="M40" s="14"/>
      <c r="N40" s="15"/>
    </row>
    <row r="41">
      <c r="A41" s="14"/>
      <c r="B41" s="12">
        <v>3.94</v>
      </c>
      <c r="D41" s="14"/>
      <c r="E41" s="23"/>
      <c r="G41" s="14"/>
      <c r="H41" s="15"/>
      <c r="J41" s="14"/>
      <c r="K41" s="12">
        <v>8.85</v>
      </c>
      <c r="M41" s="14"/>
      <c r="N41" s="15"/>
    </row>
    <row r="42">
      <c r="A42" s="14"/>
      <c r="B42" s="12">
        <v>13.9</v>
      </c>
      <c r="D42" s="14"/>
      <c r="E42" s="23"/>
      <c r="G42" s="14"/>
      <c r="H42" s="15"/>
      <c r="J42" s="14"/>
      <c r="K42" s="12">
        <v>13.08</v>
      </c>
      <c r="M42" s="14"/>
      <c r="N42" s="15"/>
    </row>
    <row r="43">
      <c r="A43" s="14"/>
      <c r="B43" s="12">
        <v>10.1</v>
      </c>
      <c r="D43" s="14"/>
      <c r="E43" s="23"/>
      <c r="G43" s="14"/>
      <c r="H43" s="15"/>
      <c r="J43" s="14"/>
      <c r="K43" s="12">
        <v>8.99</v>
      </c>
      <c r="M43" s="14"/>
      <c r="N43" s="15"/>
    </row>
    <row r="44">
      <c r="A44" s="14"/>
      <c r="B44" s="12">
        <v>4.89</v>
      </c>
      <c r="D44" s="14"/>
      <c r="E44" s="23"/>
      <c r="G44" s="14"/>
      <c r="H44" s="15"/>
      <c r="J44" s="14"/>
      <c r="K44" s="12">
        <v>8.49</v>
      </c>
      <c r="M44" s="14"/>
      <c r="N44" s="15"/>
    </row>
    <row r="45">
      <c r="A45" s="14"/>
      <c r="B45" s="12">
        <v>4.45</v>
      </c>
      <c r="D45" s="14"/>
      <c r="E45" s="23"/>
      <c r="G45" s="14"/>
      <c r="H45" s="15"/>
      <c r="J45" s="14"/>
      <c r="K45" s="12">
        <v>15.0</v>
      </c>
      <c r="M45" s="14"/>
      <c r="N45" s="15"/>
    </row>
    <row r="46">
      <c r="A46" s="14"/>
      <c r="B46" s="12">
        <v>2.0</v>
      </c>
      <c r="D46" s="14"/>
      <c r="E46" s="23"/>
      <c r="G46" s="14"/>
      <c r="H46" s="15"/>
      <c r="J46" s="14"/>
      <c r="K46" s="12">
        <v>4.45</v>
      </c>
      <c r="M46" s="14"/>
      <c r="N46" s="15"/>
    </row>
    <row r="47">
      <c r="A47" s="14"/>
      <c r="B47" s="12">
        <v>1.0</v>
      </c>
      <c r="D47" s="14"/>
      <c r="E47" s="23"/>
      <c r="G47" s="14"/>
      <c r="H47" s="15"/>
      <c r="J47" s="14"/>
      <c r="K47" s="12">
        <v>25.0</v>
      </c>
      <c r="M47" s="14"/>
      <c r="N47" s="15"/>
    </row>
    <row r="48">
      <c r="A48" s="14"/>
      <c r="B48" s="12">
        <v>4.24</v>
      </c>
      <c r="D48" s="14"/>
      <c r="E48" s="23"/>
      <c r="G48" s="14"/>
      <c r="H48" s="15"/>
      <c r="J48" s="14"/>
      <c r="K48" s="12">
        <v>506.26</v>
      </c>
      <c r="M48" s="14"/>
      <c r="N48" s="15"/>
    </row>
    <row r="49">
      <c r="A49" s="14"/>
      <c r="B49" s="12">
        <v>3.99</v>
      </c>
      <c r="D49" s="14"/>
      <c r="E49" s="23"/>
      <c r="G49" s="14"/>
      <c r="H49" s="15"/>
      <c r="J49" s="14"/>
      <c r="K49" s="12">
        <v>2.99</v>
      </c>
      <c r="M49" s="14"/>
      <c r="N49" s="15"/>
    </row>
    <row r="50">
      <c r="A50" s="14"/>
      <c r="B50" s="12">
        <v>2.9</v>
      </c>
      <c r="D50" s="14"/>
      <c r="E50" s="23"/>
      <c r="G50" s="14"/>
      <c r="H50" s="15"/>
      <c r="J50" s="14"/>
      <c r="K50" s="12">
        <v>9.71</v>
      </c>
      <c r="M50" s="14"/>
      <c r="N50" s="15"/>
    </row>
    <row r="51">
      <c r="A51" s="14"/>
      <c r="B51" s="23"/>
      <c r="D51" s="14"/>
      <c r="E51" s="23"/>
      <c r="G51" s="14"/>
      <c r="H51" s="15"/>
      <c r="J51" s="14"/>
      <c r="K51" s="12">
        <v>0.18</v>
      </c>
      <c r="M51" s="14"/>
      <c r="N51" s="15"/>
    </row>
    <row r="52">
      <c r="A52" s="14"/>
      <c r="B52" s="23"/>
      <c r="D52" s="14"/>
      <c r="E52" s="23"/>
      <c r="G52" s="14"/>
      <c r="H52" s="15"/>
      <c r="J52" s="14"/>
      <c r="K52" s="12">
        <v>77.8</v>
      </c>
      <c r="M52" s="14"/>
      <c r="N52" s="15"/>
    </row>
    <row r="53">
      <c r="A53" s="14"/>
      <c r="B53" s="23"/>
      <c r="D53" s="14"/>
      <c r="E53" s="23"/>
      <c r="G53" s="14"/>
      <c r="H53" s="15"/>
      <c r="J53" s="14"/>
      <c r="K53" s="12">
        <v>25.4</v>
      </c>
      <c r="M53" s="14"/>
      <c r="N53" s="15"/>
    </row>
    <row r="54">
      <c r="A54" s="14"/>
      <c r="B54" s="23"/>
      <c r="D54" s="14"/>
      <c r="E54" s="23"/>
      <c r="G54" s="14"/>
      <c r="H54" s="15"/>
      <c r="J54" s="14"/>
      <c r="K54" s="12">
        <v>13.5</v>
      </c>
      <c r="M54" s="14"/>
      <c r="N54" s="15"/>
    </row>
    <row r="55">
      <c r="A55" s="14"/>
      <c r="B55" s="23"/>
      <c r="D55" s="14"/>
      <c r="E55" s="23"/>
      <c r="G55" s="14"/>
      <c r="H55" s="15"/>
      <c r="J55" s="14"/>
      <c r="K55" s="12">
        <v>10.0</v>
      </c>
      <c r="M55" s="14"/>
      <c r="N55" s="15"/>
    </row>
    <row r="56">
      <c r="A56" s="14"/>
      <c r="B56" s="23"/>
      <c r="D56" s="14"/>
      <c r="E56" s="23"/>
      <c r="G56" s="14"/>
      <c r="H56" s="15"/>
      <c r="J56" s="14"/>
      <c r="K56" s="12">
        <v>5.0</v>
      </c>
      <c r="M56" s="14"/>
      <c r="N56" s="15"/>
    </row>
    <row r="57">
      <c r="A57" s="14"/>
      <c r="B57" s="23"/>
      <c r="D57" s="14"/>
      <c r="E57" s="23"/>
      <c r="G57" s="14"/>
      <c r="H57" s="15"/>
      <c r="J57" s="14"/>
      <c r="K57" s="23"/>
      <c r="M57" s="14"/>
      <c r="N57" s="15"/>
    </row>
    <row r="58">
      <c r="A58" s="14"/>
      <c r="B58" s="23"/>
      <c r="D58" s="14"/>
      <c r="E58" s="23"/>
      <c r="G58" s="14"/>
      <c r="H58" s="15"/>
      <c r="J58" s="14"/>
      <c r="K58" s="23"/>
      <c r="M58" s="14"/>
      <c r="N58" s="15"/>
    </row>
    <row r="59">
      <c r="A59" s="14"/>
      <c r="B59" s="23"/>
      <c r="D59" s="14"/>
      <c r="E59" s="23"/>
      <c r="G59" s="14"/>
      <c r="H59" s="15"/>
      <c r="J59" s="14"/>
      <c r="K59" s="23"/>
      <c r="M59" s="14"/>
      <c r="N59" s="15"/>
    </row>
    <row r="60">
      <c r="A60" s="14"/>
      <c r="B60" s="23"/>
      <c r="D60" s="14"/>
      <c r="E60" s="23"/>
      <c r="G60" s="14"/>
      <c r="H60" s="15"/>
      <c r="J60" s="14"/>
      <c r="K60" s="23"/>
      <c r="M60" s="14"/>
      <c r="N60" s="15"/>
    </row>
    <row r="61">
      <c r="A61" s="14"/>
      <c r="B61" s="23"/>
      <c r="D61" s="14"/>
      <c r="E61" s="23"/>
      <c r="G61" s="14"/>
      <c r="H61" s="15"/>
      <c r="J61" s="14"/>
      <c r="K61" s="23"/>
      <c r="M61" s="14"/>
      <c r="N61" s="15"/>
    </row>
    <row r="62">
      <c r="A62" s="33"/>
      <c r="B62" s="34"/>
      <c r="D62" s="33"/>
      <c r="E62" s="34"/>
      <c r="G62" s="33"/>
      <c r="H62" s="35"/>
      <c r="J62" s="33"/>
      <c r="K62" s="34"/>
      <c r="M62" s="33"/>
      <c r="N62" s="35"/>
    </row>
    <row r="63">
      <c r="E63" s="22"/>
      <c r="K63" s="22"/>
    </row>
    <row r="64">
      <c r="E64" s="22"/>
      <c r="K64" s="22"/>
    </row>
    <row r="65">
      <c r="E65" s="22"/>
      <c r="K65" s="22"/>
    </row>
    <row r="66">
      <c r="E66" s="22"/>
      <c r="K66" s="22"/>
    </row>
    <row r="67">
      <c r="E67" s="22"/>
      <c r="K67" s="22"/>
    </row>
    <row r="68">
      <c r="E68" s="22"/>
      <c r="K68" s="22"/>
    </row>
    <row r="69">
      <c r="E69" s="22"/>
      <c r="K69" s="22"/>
    </row>
    <row r="70">
      <c r="E70" s="22"/>
      <c r="K70" s="22"/>
    </row>
    <row r="71">
      <c r="E71" s="22"/>
      <c r="K71" s="22"/>
    </row>
    <row r="72">
      <c r="E72" s="22"/>
      <c r="K72" s="22"/>
    </row>
    <row r="73">
      <c r="E73" s="22"/>
      <c r="K73" s="22"/>
    </row>
    <row r="74">
      <c r="E74" s="22"/>
      <c r="K74" s="22"/>
    </row>
    <row r="75">
      <c r="E75" s="22"/>
      <c r="K75" s="22"/>
    </row>
    <row r="76">
      <c r="E76" s="22"/>
      <c r="K76" s="22"/>
    </row>
    <row r="77">
      <c r="E77" s="22"/>
      <c r="K77" s="22"/>
    </row>
    <row r="78">
      <c r="E78" s="22"/>
      <c r="K78" s="22"/>
    </row>
    <row r="79">
      <c r="E79" s="22"/>
      <c r="K79" s="22"/>
    </row>
    <row r="80">
      <c r="E80" s="22"/>
      <c r="K80" s="22"/>
    </row>
    <row r="81">
      <c r="E81" s="22"/>
      <c r="K81" s="22"/>
    </row>
    <row r="82">
      <c r="E82" s="22"/>
      <c r="K82" s="22"/>
    </row>
    <row r="83">
      <c r="E83" s="22"/>
      <c r="K83" s="22"/>
    </row>
    <row r="84">
      <c r="E84" s="22"/>
      <c r="K84" s="22"/>
    </row>
    <row r="85">
      <c r="E85" s="22"/>
      <c r="K85" s="22"/>
    </row>
    <row r="86">
      <c r="E86" s="22"/>
      <c r="K86" s="22"/>
    </row>
    <row r="87">
      <c r="E87" s="22"/>
      <c r="K87" s="22"/>
    </row>
    <row r="88">
      <c r="E88" s="22"/>
      <c r="K88" s="22"/>
    </row>
    <row r="89">
      <c r="E89" s="22"/>
      <c r="K89" s="22"/>
    </row>
    <row r="90">
      <c r="E90" s="22"/>
      <c r="K90" s="22"/>
    </row>
    <row r="91">
      <c r="E91" s="22"/>
      <c r="K91" s="22"/>
    </row>
    <row r="92">
      <c r="E92" s="22"/>
      <c r="K92" s="22"/>
    </row>
    <row r="93">
      <c r="E93" s="22"/>
      <c r="K93" s="22"/>
    </row>
    <row r="94">
      <c r="E94" s="22"/>
      <c r="K94" s="22"/>
    </row>
    <row r="95">
      <c r="E95" s="22"/>
      <c r="K95" s="22"/>
    </row>
    <row r="96">
      <c r="E96" s="22"/>
      <c r="K96" s="22"/>
    </row>
    <row r="97">
      <c r="E97" s="22"/>
      <c r="K97" s="22"/>
    </row>
    <row r="98">
      <c r="E98" s="22"/>
      <c r="K98" s="22"/>
    </row>
    <row r="99">
      <c r="E99" s="22"/>
      <c r="K99" s="22"/>
    </row>
    <row r="100">
      <c r="E100" s="22"/>
      <c r="K100" s="22"/>
    </row>
    <row r="101">
      <c r="E101" s="22"/>
      <c r="K101" s="22"/>
    </row>
    <row r="102">
      <c r="E102" s="22"/>
      <c r="K102" s="22"/>
    </row>
    <row r="103">
      <c r="E103" s="22"/>
      <c r="K103" s="22"/>
    </row>
    <row r="104">
      <c r="E104" s="22"/>
      <c r="K104" s="22"/>
    </row>
    <row r="105">
      <c r="E105" s="22"/>
      <c r="K105" s="22"/>
    </row>
    <row r="106">
      <c r="E106" s="22"/>
      <c r="K106" s="22"/>
    </row>
    <row r="107">
      <c r="E107" s="22"/>
      <c r="K107" s="22"/>
    </row>
    <row r="108">
      <c r="E108" s="22"/>
      <c r="K108" s="22"/>
    </row>
    <row r="109">
      <c r="E109" s="22"/>
      <c r="K109" s="22"/>
    </row>
    <row r="110">
      <c r="E110" s="22"/>
      <c r="K110" s="22"/>
    </row>
    <row r="111">
      <c r="E111" s="22"/>
      <c r="K111" s="22"/>
    </row>
    <row r="112">
      <c r="E112" s="22"/>
      <c r="K112" s="22"/>
    </row>
    <row r="113">
      <c r="E113" s="22"/>
      <c r="K113" s="22"/>
    </row>
    <row r="114">
      <c r="E114" s="22"/>
      <c r="K114" s="22"/>
    </row>
    <row r="115">
      <c r="E115" s="22"/>
      <c r="K115" s="22"/>
    </row>
    <row r="116">
      <c r="E116" s="22"/>
      <c r="K116" s="22"/>
    </row>
    <row r="117">
      <c r="E117" s="22"/>
      <c r="K117" s="22"/>
    </row>
    <row r="118">
      <c r="E118" s="22"/>
      <c r="K118" s="22"/>
    </row>
    <row r="119">
      <c r="E119" s="22"/>
      <c r="K119" s="22"/>
    </row>
    <row r="120">
      <c r="E120" s="22"/>
      <c r="K120" s="22"/>
    </row>
    <row r="121">
      <c r="E121" s="22"/>
      <c r="K121" s="22"/>
    </row>
    <row r="122">
      <c r="E122" s="22"/>
      <c r="K122" s="22"/>
    </row>
    <row r="123">
      <c r="E123" s="22"/>
      <c r="K123" s="22"/>
    </row>
    <row r="124">
      <c r="E124" s="22"/>
      <c r="K124" s="22"/>
    </row>
    <row r="125">
      <c r="E125" s="22"/>
      <c r="K125" s="22"/>
    </row>
    <row r="126">
      <c r="E126" s="22"/>
      <c r="K126" s="22"/>
    </row>
    <row r="127">
      <c r="E127" s="22"/>
      <c r="K127" s="22"/>
    </row>
    <row r="128">
      <c r="E128" s="22"/>
      <c r="K128" s="22"/>
    </row>
    <row r="129">
      <c r="E129" s="22"/>
      <c r="K129" s="22"/>
    </row>
    <row r="130">
      <c r="E130" s="22"/>
      <c r="K130" s="22"/>
    </row>
    <row r="131">
      <c r="E131" s="22"/>
      <c r="K131" s="22"/>
    </row>
    <row r="132">
      <c r="E132" s="22"/>
      <c r="K132" s="22"/>
    </row>
    <row r="133">
      <c r="E133" s="22"/>
      <c r="K133" s="22"/>
    </row>
    <row r="134">
      <c r="E134" s="22"/>
      <c r="K134" s="22"/>
    </row>
    <row r="135">
      <c r="E135" s="22"/>
      <c r="K135" s="22"/>
    </row>
    <row r="136">
      <c r="E136" s="22"/>
      <c r="K136" s="22"/>
    </row>
    <row r="137">
      <c r="E137" s="22"/>
      <c r="K137" s="22"/>
    </row>
    <row r="138">
      <c r="E138" s="22"/>
      <c r="K138" s="22"/>
    </row>
    <row r="139">
      <c r="E139" s="22"/>
      <c r="K139" s="22"/>
    </row>
    <row r="140">
      <c r="E140" s="22"/>
      <c r="K140" s="22"/>
    </row>
    <row r="141">
      <c r="E141" s="22"/>
      <c r="K141" s="22"/>
    </row>
    <row r="142">
      <c r="E142" s="22"/>
      <c r="K142" s="22"/>
    </row>
    <row r="143">
      <c r="E143" s="22"/>
      <c r="K143" s="22"/>
    </row>
    <row r="144">
      <c r="E144" s="22"/>
      <c r="K144" s="22"/>
    </row>
    <row r="145">
      <c r="E145" s="22"/>
      <c r="K145" s="22"/>
    </row>
    <row r="146">
      <c r="E146" s="22"/>
      <c r="K146" s="22"/>
    </row>
    <row r="147">
      <c r="E147" s="22"/>
      <c r="K147" s="22"/>
    </row>
    <row r="148">
      <c r="E148" s="22"/>
      <c r="K148" s="22"/>
    </row>
    <row r="149">
      <c r="E149" s="22"/>
      <c r="K149" s="22"/>
    </row>
    <row r="150">
      <c r="E150" s="22"/>
      <c r="K150" s="22"/>
    </row>
    <row r="151">
      <c r="E151" s="22"/>
      <c r="K151" s="22"/>
    </row>
    <row r="152">
      <c r="E152" s="22"/>
      <c r="K152" s="22"/>
    </row>
    <row r="153">
      <c r="E153" s="22"/>
      <c r="K153" s="22"/>
    </row>
    <row r="154">
      <c r="E154" s="22"/>
      <c r="K154" s="22"/>
    </row>
    <row r="155">
      <c r="E155" s="22"/>
      <c r="K155" s="22"/>
    </row>
    <row r="156">
      <c r="E156" s="22"/>
      <c r="K156" s="22"/>
    </row>
    <row r="157">
      <c r="E157" s="22"/>
      <c r="K157" s="22"/>
    </row>
    <row r="158">
      <c r="E158" s="22"/>
      <c r="K158" s="22"/>
    </row>
    <row r="159">
      <c r="E159" s="22"/>
      <c r="K159" s="22"/>
    </row>
    <row r="160">
      <c r="E160" s="22"/>
      <c r="K160" s="22"/>
    </row>
    <row r="161">
      <c r="E161" s="22"/>
      <c r="K161" s="22"/>
    </row>
    <row r="162">
      <c r="E162" s="22"/>
      <c r="K162" s="22"/>
    </row>
    <row r="163">
      <c r="E163" s="22"/>
      <c r="K163" s="22"/>
    </row>
    <row r="164">
      <c r="E164" s="22"/>
      <c r="K164" s="22"/>
    </row>
    <row r="165">
      <c r="E165" s="22"/>
      <c r="K165" s="22"/>
    </row>
    <row r="166">
      <c r="E166" s="22"/>
      <c r="K166" s="22"/>
    </row>
    <row r="167">
      <c r="E167" s="22"/>
      <c r="K167" s="22"/>
    </row>
    <row r="168">
      <c r="E168" s="22"/>
      <c r="K168" s="22"/>
    </row>
    <row r="169">
      <c r="E169" s="22"/>
      <c r="K169" s="22"/>
    </row>
    <row r="170">
      <c r="E170" s="22"/>
      <c r="K170" s="22"/>
    </row>
    <row r="171">
      <c r="E171" s="22"/>
      <c r="K171" s="22"/>
    </row>
    <row r="172">
      <c r="E172" s="22"/>
      <c r="K172" s="22"/>
    </row>
    <row r="173">
      <c r="E173" s="22"/>
      <c r="K173" s="22"/>
    </row>
    <row r="174">
      <c r="E174" s="22"/>
      <c r="K174" s="22"/>
    </row>
    <row r="175">
      <c r="E175" s="22"/>
      <c r="K175" s="22"/>
    </row>
    <row r="176">
      <c r="E176" s="22"/>
      <c r="K176" s="22"/>
    </row>
    <row r="177">
      <c r="E177" s="22"/>
      <c r="K177" s="22"/>
    </row>
    <row r="178">
      <c r="E178" s="22"/>
      <c r="K178" s="22"/>
    </row>
    <row r="179">
      <c r="E179" s="22"/>
      <c r="K179" s="22"/>
    </row>
    <row r="180">
      <c r="E180" s="22"/>
      <c r="K180" s="22"/>
    </row>
    <row r="181">
      <c r="E181" s="22"/>
      <c r="K181" s="22"/>
    </row>
    <row r="182">
      <c r="E182" s="22"/>
      <c r="K182" s="22"/>
    </row>
    <row r="183">
      <c r="E183" s="22"/>
      <c r="K183" s="22"/>
    </row>
    <row r="184">
      <c r="E184" s="22"/>
      <c r="K184" s="22"/>
    </row>
    <row r="185">
      <c r="E185" s="22"/>
      <c r="K185" s="22"/>
    </row>
    <row r="186">
      <c r="E186" s="22"/>
      <c r="K186" s="22"/>
    </row>
    <row r="187">
      <c r="E187" s="22"/>
      <c r="K187" s="22"/>
    </row>
    <row r="188">
      <c r="E188" s="22"/>
      <c r="K188" s="22"/>
    </row>
    <row r="189">
      <c r="E189" s="22"/>
      <c r="K189" s="22"/>
    </row>
    <row r="190">
      <c r="E190" s="22"/>
      <c r="K190" s="22"/>
    </row>
    <row r="191">
      <c r="E191" s="22"/>
      <c r="K191" s="22"/>
    </row>
    <row r="192">
      <c r="E192" s="22"/>
      <c r="K192" s="22"/>
    </row>
    <row r="193">
      <c r="E193" s="22"/>
      <c r="K193" s="22"/>
    </row>
    <row r="194">
      <c r="E194" s="22"/>
      <c r="K194" s="22"/>
    </row>
    <row r="195">
      <c r="E195" s="22"/>
      <c r="K195" s="22"/>
    </row>
    <row r="196">
      <c r="E196" s="22"/>
      <c r="K196" s="22"/>
    </row>
    <row r="197">
      <c r="E197" s="22"/>
      <c r="K197" s="22"/>
    </row>
    <row r="198">
      <c r="E198" s="22"/>
      <c r="K198" s="22"/>
    </row>
    <row r="199">
      <c r="E199" s="22"/>
      <c r="K199" s="22"/>
    </row>
    <row r="200">
      <c r="E200" s="22"/>
      <c r="K200" s="22"/>
    </row>
    <row r="201">
      <c r="E201" s="22"/>
      <c r="K201" s="22"/>
    </row>
    <row r="202">
      <c r="E202" s="22"/>
      <c r="K202" s="22"/>
    </row>
    <row r="203">
      <c r="E203" s="22"/>
      <c r="K203" s="22"/>
    </row>
    <row r="204">
      <c r="E204" s="22"/>
      <c r="K204" s="22"/>
    </row>
    <row r="205">
      <c r="E205" s="22"/>
      <c r="K205" s="22"/>
    </row>
    <row r="206">
      <c r="E206" s="22"/>
      <c r="K206" s="22"/>
    </row>
    <row r="207">
      <c r="E207" s="22"/>
      <c r="K207" s="22"/>
    </row>
    <row r="208">
      <c r="E208" s="22"/>
      <c r="K208" s="22"/>
    </row>
    <row r="209">
      <c r="E209" s="22"/>
      <c r="K209" s="22"/>
    </row>
    <row r="210">
      <c r="E210" s="22"/>
      <c r="K210" s="22"/>
    </row>
    <row r="211">
      <c r="E211" s="22"/>
      <c r="K211" s="22"/>
    </row>
    <row r="212">
      <c r="E212" s="22"/>
      <c r="K212" s="22"/>
    </row>
    <row r="213">
      <c r="E213" s="22"/>
      <c r="K213" s="22"/>
    </row>
    <row r="214">
      <c r="E214" s="22"/>
      <c r="K214" s="22"/>
    </row>
    <row r="215">
      <c r="E215" s="22"/>
      <c r="K215" s="22"/>
    </row>
    <row r="216">
      <c r="E216" s="22"/>
      <c r="K216" s="22"/>
    </row>
    <row r="217">
      <c r="E217" s="22"/>
      <c r="K217" s="22"/>
    </row>
    <row r="218">
      <c r="E218" s="22"/>
      <c r="K218" s="22"/>
    </row>
    <row r="219">
      <c r="E219" s="22"/>
      <c r="K219" s="22"/>
    </row>
    <row r="220">
      <c r="E220" s="22"/>
      <c r="K220" s="22"/>
    </row>
    <row r="221">
      <c r="E221" s="22"/>
      <c r="K221" s="22"/>
    </row>
    <row r="222">
      <c r="E222" s="22"/>
      <c r="K222" s="22"/>
    </row>
    <row r="223">
      <c r="E223" s="22"/>
      <c r="K223" s="22"/>
    </row>
    <row r="224">
      <c r="E224" s="22"/>
      <c r="K224" s="22"/>
    </row>
    <row r="225">
      <c r="E225" s="22"/>
      <c r="K225" s="22"/>
    </row>
    <row r="226">
      <c r="E226" s="22"/>
      <c r="K226" s="22"/>
    </row>
    <row r="227">
      <c r="E227" s="22"/>
      <c r="K227" s="22"/>
    </row>
    <row r="228">
      <c r="E228" s="22"/>
      <c r="K228" s="22"/>
    </row>
    <row r="229">
      <c r="E229" s="22"/>
      <c r="K229" s="22"/>
    </row>
    <row r="230">
      <c r="E230" s="22"/>
      <c r="K230" s="22"/>
    </row>
    <row r="231">
      <c r="E231" s="22"/>
      <c r="K231" s="22"/>
    </row>
    <row r="232">
      <c r="E232" s="22"/>
      <c r="K232" s="22"/>
    </row>
    <row r="233">
      <c r="E233" s="22"/>
      <c r="K233" s="22"/>
    </row>
    <row r="234">
      <c r="E234" s="22"/>
      <c r="K234" s="22"/>
    </row>
    <row r="235">
      <c r="E235" s="22"/>
      <c r="K235" s="22"/>
    </row>
    <row r="236">
      <c r="E236" s="22"/>
      <c r="K236" s="22"/>
    </row>
    <row r="237">
      <c r="E237" s="22"/>
      <c r="K237" s="22"/>
    </row>
    <row r="238">
      <c r="E238" s="22"/>
      <c r="K238" s="22"/>
    </row>
    <row r="239">
      <c r="E239" s="22"/>
      <c r="K239" s="22"/>
    </row>
    <row r="240">
      <c r="E240" s="22"/>
      <c r="K240" s="22"/>
    </row>
    <row r="241">
      <c r="E241" s="22"/>
      <c r="K241" s="22"/>
    </row>
    <row r="242">
      <c r="E242" s="22"/>
      <c r="K242" s="22"/>
    </row>
    <row r="243">
      <c r="E243" s="22"/>
      <c r="K243" s="22"/>
    </row>
    <row r="244">
      <c r="E244" s="22"/>
      <c r="K244" s="22"/>
    </row>
    <row r="245">
      <c r="E245" s="22"/>
      <c r="K245" s="22"/>
    </row>
    <row r="246">
      <c r="E246" s="22"/>
      <c r="K246" s="22"/>
    </row>
    <row r="247">
      <c r="E247" s="22"/>
      <c r="K247" s="22"/>
    </row>
    <row r="248">
      <c r="E248" s="22"/>
      <c r="K248" s="22"/>
    </row>
    <row r="249">
      <c r="E249" s="22"/>
      <c r="K249" s="22"/>
    </row>
    <row r="250">
      <c r="E250" s="22"/>
      <c r="K250" s="22"/>
    </row>
    <row r="251">
      <c r="E251" s="22"/>
      <c r="K251" s="22"/>
    </row>
    <row r="252">
      <c r="E252" s="22"/>
      <c r="K252" s="22"/>
    </row>
    <row r="253">
      <c r="E253" s="22"/>
      <c r="K253" s="22"/>
    </row>
    <row r="254">
      <c r="E254" s="22"/>
      <c r="K254" s="22"/>
    </row>
    <row r="255">
      <c r="E255" s="22"/>
      <c r="K255" s="22"/>
    </row>
    <row r="256">
      <c r="E256" s="22"/>
      <c r="K256" s="22"/>
    </row>
    <row r="257">
      <c r="E257" s="22"/>
      <c r="K257" s="22"/>
    </row>
    <row r="258">
      <c r="E258" s="22"/>
      <c r="K258" s="22"/>
    </row>
    <row r="259">
      <c r="E259" s="22"/>
      <c r="K259" s="22"/>
    </row>
    <row r="260">
      <c r="E260" s="22"/>
      <c r="K260" s="22"/>
    </row>
    <row r="261">
      <c r="E261" s="22"/>
      <c r="K261" s="22"/>
    </row>
    <row r="262">
      <c r="E262" s="22"/>
      <c r="K262" s="22"/>
    </row>
    <row r="263">
      <c r="E263" s="22"/>
      <c r="K263" s="22"/>
    </row>
    <row r="264">
      <c r="E264" s="22"/>
      <c r="K264" s="22"/>
    </row>
    <row r="265">
      <c r="E265" s="22"/>
      <c r="K265" s="22"/>
    </row>
    <row r="266">
      <c r="E266" s="22"/>
      <c r="K266" s="22"/>
    </row>
    <row r="267">
      <c r="E267" s="22"/>
      <c r="K267" s="22"/>
    </row>
    <row r="268">
      <c r="E268" s="22"/>
      <c r="K268" s="22"/>
    </row>
    <row r="269">
      <c r="E269" s="22"/>
      <c r="K269" s="22"/>
    </row>
    <row r="270">
      <c r="E270" s="22"/>
      <c r="K270" s="22"/>
    </row>
    <row r="271">
      <c r="E271" s="22"/>
      <c r="K271" s="22"/>
    </row>
    <row r="272">
      <c r="E272" s="22"/>
      <c r="K272" s="22"/>
    </row>
    <row r="273">
      <c r="E273" s="22"/>
      <c r="K273" s="22"/>
    </row>
    <row r="274">
      <c r="E274" s="22"/>
      <c r="K274" s="22"/>
    </row>
    <row r="275">
      <c r="E275" s="22"/>
      <c r="K275" s="22"/>
    </row>
    <row r="276">
      <c r="E276" s="22"/>
      <c r="K276" s="22"/>
    </row>
    <row r="277">
      <c r="E277" s="22"/>
      <c r="K277" s="22"/>
    </row>
    <row r="278">
      <c r="E278" s="22"/>
      <c r="K278" s="22"/>
    </row>
    <row r="279">
      <c r="E279" s="22"/>
      <c r="K279" s="22"/>
    </row>
    <row r="280">
      <c r="E280" s="22"/>
      <c r="K280" s="22"/>
    </row>
    <row r="281">
      <c r="E281" s="22"/>
      <c r="K281" s="22"/>
    </row>
    <row r="282">
      <c r="E282" s="22"/>
      <c r="K282" s="22"/>
    </row>
    <row r="283">
      <c r="E283" s="22"/>
      <c r="K283" s="22"/>
    </row>
    <row r="284">
      <c r="E284" s="22"/>
      <c r="K284" s="22"/>
    </row>
    <row r="285">
      <c r="E285" s="22"/>
      <c r="K285" s="22"/>
    </row>
    <row r="286">
      <c r="E286" s="22"/>
      <c r="K286" s="22"/>
    </row>
    <row r="287">
      <c r="E287" s="22"/>
      <c r="K287" s="22"/>
    </row>
    <row r="288">
      <c r="E288" s="22"/>
      <c r="K288" s="22"/>
    </row>
    <row r="289">
      <c r="E289" s="22"/>
      <c r="K289" s="22"/>
    </row>
    <row r="290">
      <c r="E290" s="22"/>
      <c r="K290" s="22"/>
    </row>
    <row r="291">
      <c r="E291" s="22"/>
      <c r="K291" s="22"/>
    </row>
    <row r="292">
      <c r="E292" s="22"/>
      <c r="K292" s="22"/>
    </row>
    <row r="293">
      <c r="E293" s="22"/>
      <c r="K293" s="22"/>
    </row>
    <row r="294">
      <c r="E294" s="22"/>
      <c r="K294" s="22"/>
    </row>
    <row r="295">
      <c r="E295" s="22"/>
      <c r="K295" s="22"/>
    </row>
    <row r="296">
      <c r="E296" s="22"/>
      <c r="K296" s="22"/>
    </row>
    <row r="297">
      <c r="E297" s="22"/>
      <c r="K297" s="22"/>
    </row>
    <row r="298">
      <c r="E298" s="22"/>
      <c r="K298" s="22"/>
    </row>
    <row r="299">
      <c r="E299" s="22"/>
      <c r="K299" s="22"/>
    </row>
    <row r="300">
      <c r="E300" s="22"/>
      <c r="K300" s="22"/>
    </row>
    <row r="301">
      <c r="E301" s="22"/>
      <c r="K301" s="22"/>
    </row>
    <row r="302">
      <c r="E302" s="22"/>
      <c r="K302" s="22"/>
    </row>
    <row r="303">
      <c r="E303" s="22"/>
      <c r="K303" s="22"/>
    </row>
    <row r="304">
      <c r="E304" s="22"/>
      <c r="K304" s="22"/>
    </row>
    <row r="305">
      <c r="E305" s="22"/>
      <c r="K305" s="22"/>
    </row>
    <row r="306">
      <c r="E306" s="22"/>
      <c r="K306" s="22"/>
    </row>
    <row r="307">
      <c r="E307" s="22"/>
      <c r="K307" s="22"/>
    </row>
    <row r="308">
      <c r="E308" s="22"/>
      <c r="K308" s="22"/>
    </row>
    <row r="309">
      <c r="E309" s="22"/>
      <c r="K309" s="22"/>
    </row>
    <row r="310">
      <c r="E310" s="22"/>
      <c r="K310" s="22"/>
    </row>
    <row r="311">
      <c r="E311" s="22"/>
      <c r="K311" s="22"/>
    </row>
    <row r="312">
      <c r="E312" s="22"/>
      <c r="K312" s="22"/>
    </row>
    <row r="313">
      <c r="E313" s="22"/>
      <c r="K313" s="22"/>
    </row>
    <row r="314">
      <c r="E314" s="22"/>
      <c r="K314" s="22"/>
    </row>
    <row r="315">
      <c r="E315" s="22"/>
      <c r="K315" s="22"/>
    </row>
    <row r="316">
      <c r="E316" s="22"/>
      <c r="K316" s="22"/>
    </row>
    <row r="317">
      <c r="E317" s="22"/>
      <c r="K317" s="22"/>
    </row>
    <row r="318">
      <c r="E318" s="22"/>
      <c r="K318" s="22"/>
    </row>
    <row r="319">
      <c r="E319" s="22"/>
      <c r="K319" s="22"/>
    </row>
    <row r="320">
      <c r="E320" s="22"/>
      <c r="K320" s="22"/>
    </row>
    <row r="321">
      <c r="E321" s="22"/>
      <c r="K321" s="22"/>
    </row>
    <row r="322">
      <c r="E322" s="22"/>
      <c r="K322" s="22"/>
    </row>
    <row r="323">
      <c r="E323" s="22"/>
      <c r="K323" s="22"/>
    </row>
    <row r="324">
      <c r="E324" s="22"/>
      <c r="K324" s="22"/>
    </row>
    <row r="325">
      <c r="E325" s="22"/>
      <c r="K325" s="22"/>
    </row>
    <row r="326">
      <c r="E326" s="22"/>
      <c r="K326" s="22"/>
    </row>
    <row r="327">
      <c r="E327" s="22"/>
      <c r="K327" s="22"/>
    </row>
    <row r="328">
      <c r="E328" s="22"/>
      <c r="K328" s="22"/>
    </row>
    <row r="329">
      <c r="E329" s="22"/>
      <c r="K329" s="22"/>
    </row>
    <row r="330">
      <c r="E330" s="22"/>
      <c r="K330" s="22"/>
    </row>
    <row r="331">
      <c r="E331" s="22"/>
      <c r="K331" s="22"/>
    </row>
    <row r="332">
      <c r="E332" s="22"/>
      <c r="K332" s="22"/>
    </row>
    <row r="333">
      <c r="E333" s="22"/>
      <c r="K333" s="22"/>
    </row>
    <row r="334">
      <c r="E334" s="22"/>
      <c r="K334" s="22"/>
    </row>
    <row r="335">
      <c r="E335" s="22"/>
      <c r="K335" s="22"/>
    </row>
    <row r="336">
      <c r="E336" s="22"/>
      <c r="K336" s="22"/>
    </row>
    <row r="337">
      <c r="E337" s="22"/>
      <c r="K337" s="22"/>
    </row>
    <row r="338">
      <c r="E338" s="22"/>
      <c r="K338" s="22"/>
    </row>
    <row r="339">
      <c r="E339" s="22"/>
      <c r="K339" s="22"/>
    </row>
    <row r="340">
      <c r="E340" s="22"/>
      <c r="K340" s="22"/>
    </row>
    <row r="341">
      <c r="E341" s="22"/>
      <c r="K341" s="22"/>
    </row>
    <row r="342">
      <c r="E342" s="22"/>
      <c r="K342" s="22"/>
    </row>
    <row r="343">
      <c r="E343" s="22"/>
      <c r="K343" s="22"/>
    </row>
    <row r="344">
      <c r="E344" s="22"/>
      <c r="K344" s="22"/>
    </row>
    <row r="345">
      <c r="E345" s="22"/>
      <c r="K345" s="22"/>
    </row>
    <row r="346">
      <c r="E346" s="22"/>
      <c r="K346" s="22"/>
    </row>
    <row r="347">
      <c r="E347" s="22"/>
      <c r="K347" s="22"/>
    </row>
    <row r="348">
      <c r="E348" s="22"/>
      <c r="K348" s="22"/>
    </row>
    <row r="349">
      <c r="E349" s="22"/>
      <c r="K349" s="22"/>
    </row>
    <row r="350">
      <c r="E350" s="22"/>
      <c r="K350" s="22"/>
    </row>
    <row r="351">
      <c r="E351" s="22"/>
      <c r="K351" s="22"/>
    </row>
    <row r="352">
      <c r="E352" s="22"/>
      <c r="K352" s="22"/>
    </row>
    <row r="353">
      <c r="E353" s="22"/>
      <c r="K353" s="22"/>
    </row>
    <row r="354">
      <c r="E354" s="22"/>
      <c r="K354" s="22"/>
    </row>
    <row r="355">
      <c r="E355" s="22"/>
      <c r="K355" s="22"/>
    </row>
    <row r="356">
      <c r="E356" s="22"/>
      <c r="K356" s="22"/>
    </row>
    <row r="357">
      <c r="E357" s="22"/>
      <c r="K357" s="22"/>
    </row>
    <row r="358">
      <c r="E358" s="22"/>
      <c r="K358" s="22"/>
    </row>
    <row r="359">
      <c r="E359" s="22"/>
      <c r="K359" s="22"/>
    </row>
    <row r="360">
      <c r="E360" s="22"/>
      <c r="K360" s="22"/>
    </row>
    <row r="361">
      <c r="E361" s="22"/>
      <c r="K361" s="22"/>
    </row>
    <row r="362">
      <c r="E362" s="22"/>
      <c r="K362" s="22"/>
    </row>
    <row r="363">
      <c r="E363" s="22"/>
      <c r="K363" s="22"/>
    </row>
    <row r="364">
      <c r="E364" s="22"/>
      <c r="K364" s="22"/>
    </row>
    <row r="365">
      <c r="E365" s="22"/>
      <c r="K365" s="22"/>
    </row>
    <row r="366">
      <c r="E366" s="22"/>
      <c r="K366" s="22"/>
    </row>
    <row r="367">
      <c r="E367" s="22"/>
      <c r="K367" s="22"/>
    </row>
    <row r="368">
      <c r="E368" s="22"/>
      <c r="K368" s="22"/>
    </row>
    <row r="369">
      <c r="E369" s="22"/>
      <c r="K369" s="22"/>
    </row>
    <row r="370">
      <c r="E370" s="22"/>
      <c r="K370" s="22"/>
    </row>
    <row r="371">
      <c r="E371" s="22"/>
      <c r="K371" s="22"/>
    </row>
    <row r="372">
      <c r="E372" s="22"/>
      <c r="K372" s="22"/>
    </row>
    <row r="373">
      <c r="E373" s="22"/>
      <c r="K373" s="22"/>
    </row>
    <row r="374">
      <c r="E374" s="22"/>
      <c r="K374" s="22"/>
    </row>
    <row r="375">
      <c r="E375" s="22"/>
      <c r="K375" s="22"/>
    </row>
    <row r="376">
      <c r="E376" s="22"/>
      <c r="K376" s="22"/>
    </row>
    <row r="377">
      <c r="E377" s="22"/>
      <c r="K377" s="22"/>
    </row>
    <row r="378">
      <c r="E378" s="22"/>
      <c r="K378" s="22"/>
    </row>
    <row r="379">
      <c r="E379" s="22"/>
      <c r="K379" s="22"/>
    </row>
    <row r="380">
      <c r="E380" s="22"/>
      <c r="K380" s="22"/>
    </row>
    <row r="381">
      <c r="E381" s="22"/>
      <c r="K381" s="22"/>
    </row>
    <row r="382">
      <c r="E382" s="22"/>
      <c r="K382" s="22"/>
    </row>
    <row r="383">
      <c r="E383" s="22"/>
      <c r="K383" s="22"/>
    </row>
    <row r="384">
      <c r="E384" s="22"/>
      <c r="K384" s="22"/>
    </row>
    <row r="385">
      <c r="E385" s="22"/>
      <c r="K385" s="22"/>
    </row>
    <row r="386">
      <c r="E386" s="22"/>
      <c r="K386" s="22"/>
    </row>
    <row r="387">
      <c r="E387" s="22"/>
      <c r="K387" s="22"/>
    </row>
    <row r="388">
      <c r="E388" s="22"/>
      <c r="K388" s="22"/>
    </row>
    <row r="389">
      <c r="E389" s="22"/>
      <c r="K389" s="22"/>
    </row>
    <row r="390">
      <c r="E390" s="22"/>
      <c r="K390" s="22"/>
    </row>
    <row r="391">
      <c r="E391" s="22"/>
      <c r="K391" s="22"/>
    </row>
    <row r="392">
      <c r="E392" s="22"/>
      <c r="K392" s="22"/>
    </row>
    <row r="393">
      <c r="E393" s="22"/>
      <c r="K393" s="22"/>
    </row>
    <row r="394">
      <c r="E394" s="22"/>
      <c r="K394" s="22"/>
    </row>
    <row r="395">
      <c r="E395" s="22"/>
      <c r="K395" s="22"/>
    </row>
    <row r="396">
      <c r="E396" s="22"/>
      <c r="K396" s="22"/>
    </row>
    <row r="397">
      <c r="E397" s="22"/>
      <c r="K397" s="22"/>
    </row>
    <row r="398">
      <c r="E398" s="22"/>
      <c r="K398" s="22"/>
    </row>
    <row r="399">
      <c r="E399" s="22"/>
      <c r="K399" s="22"/>
    </row>
    <row r="400">
      <c r="E400" s="22"/>
      <c r="K400" s="22"/>
    </row>
    <row r="401">
      <c r="E401" s="22"/>
      <c r="K401" s="22"/>
    </row>
    <row r="402">
      <c r="E402" s="22"/>
      <c r="K402" s="22"/>
    </row>
    <row r="403">
      <c r="E403" s="22"/>
      <c r="K403" s="22"/>
    </row>
    <row r="404">
      <c r="E404" s="22"/>
      <c r="K404" s="22"/>
    </row>
    <row r="405">
      <c r="E405" s="22"/>
      <c r="K405" s="22"/>
    </row>
    <row r="406">
      <c r="E406" s="22"/>
      <c r="K406" s="22"/>
    </row>
    <row r="407">
      <c r="E407" s="22"/>
      <c r="K407" s="22"/>
    </row>
    <row r="408">
      <c r="E408" s="22"/>
      <c r="K408" s="22"/>
    </row>
    <row r="409">
      <c r="E409" s="22"/>
      <c r="K409" s="22"/>
    </row>
    <row r="410">
      <c r="E410" s="22"/>
      <c r="K410" s="22"/>
    </row>
    <row r="411">
      <c r="E411" s="22"/>
      <c r="K411" s="22"/>
    </row>
    <row r="412">
      <c r="E412" s="22"/>
      <c r="K412" s="22"/>
    </row>
    <row r="413">
      <c r="E413" s="22"/>
      <c r="K413" s="22"/>
    </row>
    <row r="414">
      <c r="E414" s="22"/>
      <c r="K414" s="22"/>
    </row>
    <row r="415">
      <c r="E415" s="22"/>
      <c r="K415" s="22"/>
    </row>
    <row r="416">
      <c r="E416" s="22"/>
      <c r="K416" s="22"/>
    </row>
    <row r="417">
      <c r="E417" s="22"/>
      <c r="K417" s="22"/>
    </row>
    <row r="418">
      <c r="E418" s="22"/>
      <c r="K418" s="22"/>
    </row>
    <row r="419">
      <c r="E419" s="22"/>
      <c r="K419" s="22"/>
    </row>
    <row r="420">
      <c r="E420" s="22"/>
      <c r="K420" s="22"/>
    </row>
    <row r="421">
      <c r="E421" s="22"/>
      <c r="K421" s="22"/>
    </row>
    <row r="422">
      <c r="E422" s="22"/>
      <c r="K422" s="22"/>
    </row>
    <row r="423">
      <c r="E423" s="22"/>
      <c r="K423" s="22"/>
    </row>
    <row r="424">
      <c r="E424" s="22"/>
      <c r="K424" s="22"/>
    </row>
    <row r="425">
      <c r="E425" s="22"/>
      <c r="K425" s="22"/>
    </row>
    <row r="426">
      <c r="E426" s="22"/>
      <c r="K426" s="22"/>
    </row>
    <row r="427">
      <c r="E427" s="22"/>
      <c r="K427" s="22"/>
    </row>
    <row r="428">
      <c r="E428" s="22"/>
      <c r="K428" s="22"/>
    </row>
    <row r="429">
      <c r="E429" s="22"/>
      <c r="K429" s="22"/>
    </row>
    <row r="430">
      <c r="E430" s="22"/>
      <c r="K430" s="22"/>
    </row>
    <row r="431">
      <c r="E431" s="22"/>
      <c r="K431" s="22"/>
    </row>
    <row r="432">
      <c r="E432" s="22"/>
      <c r="K432" s="22"/>
    </row>
    <row r="433">
      <c r="E433" s="22"/>
      <c r="K433" s="22"/>
    </row>
    <row r="434">
      <c r="E434" s="22"/>
      <c r="K434" s="22"/>
    </row>
    <row r="435">
      <c r="E435" s="22"/>
      <c r="K435" s="22"/>
    </row>
    <row r="436">
      <c r="E436" s="22"/>
      <c r="K436" s="22"/>
    </row>
    <row r="437">
      <c r="E437" s="22"/>
      <c r="K437" s="22"/>
    </row>
    <row r="438">
      <c r="E438" s="22"/>
      <c r="K438" s="22"/>
    </row>
    <row r="439">
      <c r="E439" s="22"/>
      <c r="K439" s="22"/>
    </row>
    <row r="440">
      <c r="E440" s="22"/>
      <c r="K440" s="22"/>
    </row>
    <row r="441">
      <c r="E441" s="22"/>
      <c r="K441" s="22"/>
    </row>
    <row r="442">
      <c r="E442" s="22"/>
      <c r="K442" s="22"/>
    </row>
    <row r="443">
      <c r="E443" s="22"/>
      <c r="K443" s="22"/>
    </row>
    <row r="444">
      <c r="E444" s="22"/>
      <c r="K444" s="22"/>
    </row>
    <row r="445">
      <c r="E445" s="22"/>
      <c r="K445" s="22"/>
    </row>
    <row r="446">
      <c r="E446" s="22"/>
      <c r="K446" s="22"/>
    </row>
    <row r="447">
      <c r="E447" s="22"/>
      <c r="K447" s="22"/>
    </row>
    <row r="448">
      <c r="E448" s="22"/>
      <c r="K448" s="22"/>
    </row>
    <row r="449">
      <c r="E449" s="22"/>
      <c r="K449" s="22"/>
    </row>
    <row r="450">
      <c r="E450" s="22"/>
      <c r="K450" s="22"/>
    </row>
    <row r="451">
      <c r="E451" s="22"/>
      <c r="K451" s="22"/>
    </row>
    <row r="452">
      <c r="E452" s="22"/>
      <c r="K452" s="22"/>
    </row>
    <row r="453">
      <c r="E453" s="22"/>
      <c r="K453" s="22"/>
    </row>
    <row r="454">
      <c r="E454" s="22"/>
      <c r="K454" s="22"/>
    </row>
    <row r="455">
      <c r="E455" s="22"/>
      <c r="K455" s="22"/>
    </row>
    <row r="456">
      <c r="E456" s="22"/>
      <c r="K456" s="22"/>
    </row>
    <row r="457">
      <c r="E457" s="22"/>
      <c r="K457" s="22"/>
    </row>
    <row r="458">
      <c r="E458" s="22"/>
      <c r="K458" s="22"/>
    </row>
    <row r="459">
      <c r="E459" s="22"/>
      <c r="K459" s="22"/>
    </row>
    <row r="460">
      <c r="E460" s="22"/>
      <c r="K460" s="22"/>
    </row>
    <row r="461">
      <c r="E461" s="22"/>
      <c r="K461" s="22"/>
    </row>
    <row r="462">
      <c r="E462" s="22"/>
      <c r="K462" s="22"/>
    </row>
    <row r="463">
      <c r="E463" s="22"/>
      <c r="K463" s="22"/>
    </row>
    <row r="464">
      <c r="E464" s="22"/>
      <c r="K464" s="22"/>
    </row>
    <row r="465">
      <c r="E465" s="22"/>
      <c r="K465" s="22"/>
    </row>
    <row r="466">
      <c r="E466" s="22"/>
      <c r="K466" s="22"/>
    </row>
    <row r="467">
      <c r="E467" s="22"/>
      <c r="K467" s="22"/>
    </row>
    <row r="468">
      <c r="E468" s="22"/>
      <c r="K468" s="22"/>
    </row>
    <row r="469">
      <c r="E469" s="22"/>
      <c r="K469" s="22"/>
    </row>
    <row r="470">
      <c r="E470" s="22"/>
      <c r="K470" s="22"/>
    </row>
    <row r="471">
      <c r="E471" s="22"/>
      <c r="K471" s="22"/>
    </row>
    <row r="472">
      <c r="E472" s="22"/>
      <c r="K472" s="22"/>
    </row>
    <row r="473">
      <c r="E473" s="22"/>
      <c r="K473" s="22"/>
    </row>
    <row r="474">
      <c r="E474" s="22"/>
      <c r="K474" s="22"/>
    </row>
    <row r="475">
      <c r="E475" s="22"/>
      <c r="K475" s="22"/>
    </row>
    <row r="476">
      <c r="E476" s="22"/>
      <c r="K476" s="22"/>
    </row>
    <row r="477">
      <c r="E477" s="22"/>
      <c r="K477" s="22"/>
    </row>
    <row r="478">
      <c r="E478" s="22"/>
      <c r="K478" s="22"/>
    </row>
    <row r="479">
      <c r="E479" s="22"/>
      <c r="K479" s="22"/>
    </row>
    <row r="480">
      <c r="E480" s="22"/>
      <c r="K480" s="22"/>
    </row>
    <row r="481">
      <c r="E481" s="22"/>
      <c r="K481" s="22"/>
    </row>
    <row r="482">
      <c r="E482" s="22"/>
      <c r="K482" s="22"/>
    </row>
    <row r="483">
      <c r="E483" s="22"/>
      <c r="K483" s="22"/>
    </row>
    <row r="484">
      <c r="E484" s="22"/>
      <c r="K484" s="22"/>
    </row>
    <row r="485">
      <c r="E485" s="22"/>
      <c r="K485" s="22"/>
    </row>
    <row r="486">
      <c r="E486" s="22"/>
      <c r="K486" s="22"/>
    </row>
    <row r="487">
      <c r="E487" s="22"/>
      <c r="K487" s="22"/>
    </row>
    <row r="488">
      <c r="E488" s="22"/>
      <c r="K488" s="22"/>
    </row>
    <row r="489">
      <c r="E489" s="22"/>
      <c r="K489" s="22"/>
    </row>
    <row r="490">
      <c r="E490" s="22"/>
      <c r="K490" s="22"/>
    </row>
    <row r="491">
      <c r="E491" s="22"/>
      <c r="K491" s="22"/>
    </row>
    <row r="492">
      <c r="E492" s="22"/>
      <c r="K492" s="22"/>
    </row>
    <row r="493">
      <c r="E493" s="22"/>
      <c r="K493" s="22"/>
    </row>
    <row r="494">
      <c r="E494" s="22"/>
      <c r="K494" s="22"/>
    </row>
    <row r="495">
      <c r="E495" s="22"/>
      <c r="K495" s="22"/>
    </row>
    <row r="496">
      <c r="E496" s="22"/>
      <c r="K496" s="22"/>
    </row>
    <row r="497">
      <c r="E497" s="22"/>
      <c r="K497" s="22"/>
    </row>
    <row r="498">
      <c r="E498" s="22"/>
      <c r="K498" s="22"/>
    </row>
    <row r="499">
      <c r="E499" s="22"/>
      <c r="K499" s="22"/>
    </row>
    <row r="500">
      <c r="E500" s="22"/>
      <c r="K500" s="22"/>
    </row>
    <row r="501">
      <c r="E501" s="22"/>
      <c r="K501" s="22"/>
    </row>
    <row r="502">
      <c r="E502" s="22"/>
      <c r="K502" s="22"/>
    </row>
    <row r="503">
      <c r="E503" s="22"/>
      <c r="K503" s="22"/>
    </row>
    <row r="504">
      <c r="E504" s="22"/>
      <c r="K504" s="22"/>
    </row>
    <row r="505">
      <c r="E505" s="22"/>
      <c r="K505" s="22"/>
    </row>
    <row r="506">
      <c r="E506" s="22"/>
      <c r="K506" s="22"/>
    </row>
    <row r="507">
      <c r="E507" s="22"/>
      <c r="K507" s="22"/>
    </row>
    <row r="508">
      <c r="E508" s="22"/>
      <c r="K508" s="22"/>
    </row>
    <row r="509">
      <c r="E509" s="22"/>
      <c r="K509" s="22"/>
    </row>
    <row r="510">
      <c r="E510" s="22"/>
      <c r="K510" s="22"/>
    </row>
    <row r="511">
      <c r="E511" s="22"/>
      <c r="K511" s="22"/>
    </row>
    <row r="512">
      <c r="E512" s="22"/>
      <c r="K512" s="22"/>
    </row>
    <row r="513">
      <c r="E513" s="22"/>
      <c r="K513" s="22"/>
    </row>
    <row r="514">
      <c r="E514" s="22"/>
      <c r="K514" s="22"/>
    </row>
    <row r="515">
      <c r="E515" s="22"/>
      <c r="K515" s="22"/>
    </row>
    <row r="516">
      <c r="E516" s="22"/>
      <c r="K516" s="22"/>
    </row>
    <row r="517">
      <c r="E517" s="22"/>
      <c r="K517" s="22"/>
    </row>
    <row r="518">
      <c r="E518" s="22"/>
      <c r="K518" s="22"/>
    </row>
    <row r="519">
      <c r="E519" s="22"/>
      <c r="K519" s="22"/>
    </row>
    <row r="520">
      <c r="E520" s="22"/>
      <c r="K520" s="22"/>
    </row>
    <row r="521">
      <c r="E521" s="22"/>
      <c r="K521" s="22"/>
    </row>
    <row r="522">
      <c r="E522" s="22"/>
      <c r="K522" s="22"/>
    </row>
    <row r="523">
      <c r="E523" s="22"/>
      <c r="K523" s="22"/>
    </row>
    <row r="524">
      <c r="E524" s="22"/>
      <c r="K524" s="22"/>
    </row>
    <row r="525">
      <c r="E525" s="22"/>
      <c r="K525" s="22"/>
    </row>
    <row r="526">
      <c r="E526" s="22"/>
      <c r="K526" s="22"/>
    </row>
    <row r="527">
      <c r="E527" s="22"/>
      <c r="K527" s="22"/>
    </row>
    <row r="528">
      <c r="E528" s="22"/>
      <c r="K528" s="22"/>
    </row>
    <row r="529">
      <c r="E529" s="22"/>
      <c r="K529" s="22"/>
    </row>
    <row r="530">
      <c r="E530" s="22"/>
      <c r="K530" s="22"/>
    </row>
    <row r="531">
      <c r="E531" s="22"/>
      <c r="K531" s="22"/>
    </row>
    <row r="532">
      <c r="E532" s="22"/>
      <c r="K532" s="22"/>
    </row>
    <row r="533">
      <c r="E533" s="22"/>
      <c r="K533" s="22"/>
    </row>
    <row r="534">
      <c r="E534" s="22"/>
      <c r="K534" s="22"/>
    </row>
    <row r="535">
      <c r="E535" s="22"/>
      <c r="K535" s="22"/>
    </row>
    <row r="536">
      <c r="E536" s="22"/>
      <c r="K536" s="22"/>
    </row>
    <row r="537">
      <c r="E537" s="22"/>
      <c r="K537" s="22"/>
    </row>
    <row r="538">
      <c r="E538" s="22"/>
      <c r="K538" s="22"/>
    </row>
    <row r="539">
      <c r="E539" s="22"/>
      <c r="K539" s="22"/>
    </row>
    <row r="540">
      <c r="E540" s="22"/>
      <c r="K540" s="22"/>
    </row>
    <row r="541">
      <c r="E541" s="22"/>
      <c r="K541" s="22"/>
    </row>
    <row r="542">
      <c r="E542" s="22"/>
      <c r="K542" s="22"/>
    </row>
    <row r="543">
      <c r="E543" s="22"/>
      <c r="K543" s="22"/>
    </row>
    <row r="544">
      <c r="E544" s="22"/>
      <c r="K544" s="22"/>
    </row>
    <row r="545">
      <c r="E545" s="22"/>
      <c r="K545" s="22"/>
    </row>
    <row r="546">
      <c r="E546" s="22"/>
      <c r="K546" s="22"/>
    </row>
    <row r="547">
      <c r="E547" s="22"/>
      <c r="K547" s="22"/>
    </row>
    <row r="548">
      <c r="E548" s="22"/>
      <c r="K548" s="22"/>
    </row>
    <row r="549">
      <c r="E549" s="22"/>
      <c r="K549" s="22"/>
    </row>
    <row r="550">
      <c r="E550" s="22"/>
      <c r="K550" s="22"/>
    </row>
    <row r="551">
      <c r="E551" s="22"/>
      <c r="K551" s="22"/>
    </row>
    <row r="552">
      <c r="E552" s="22"/>
      <c r="K552" s="22"/>
    </row>
    <row r="553">
      <c r="E553" s="22"/>
      <c r="K553" s="22"/>
    </row>
    <row r="554">
      <c r="E554" s="22"/>
      <c r="K554" s="22"/>
    </row>
    <row r="555">
      <c r="E555" s="22"/>
      <c r="K555" s="22"/>
    </row>
    <row r="556">
      <c r="E556" s="22"/>
      <c r="K556" s="22"/>
    </row>
    <row r="557">
      <c r="E557" s="22"/>
      <c r="K557" s="22"/>
    </row>
    <row r="558">
      <c r="E558" s="22"/>
      <c r="K558" s="22"/>
    </row>
    <row r="559">
      <c r="E559" s="22"/>
      <c r="K559" s="22"/>
    </row>
    <row r="560">
      <c r="E560" s="22"/>
      <c r="K560" s="22"/>
    </row>
    <row r="561">
      <c r="E561" s="22"/>
      <c r="K561" s="22"/>
    </row>
    <row r="562">
      <c r="E562" s="22"/>
      <c r="K562" s="22"/>
    </row>
    <row r="563">
      <c r="E563" s="22"/>
      <c r="K563" s="22"/>
    </row>
    <row r="564">
      <c r="E564" s="22"/>
      <c r="K564" s="22"/>
    </row>
    <row r="565">
      <c r="E565" s="22"/>
      <c r="K565" s="22"/>
    </row>
    <row r="566">
      <c r="E566" s="22"/>
      <c r="K566" s="22"/>
    </row>
    <row r="567">
      <c r="E567" s="22"/>
      <c r="K567" s="22"/>
    </row>
    <row r="568">
      <c r="E568" s="22"/>
      <c r="K568" s="22"/>
    </row>
    <row r="569">
      <c r="E569" s="22"/>
      <c r="K569" s="22"/>
    </row>
    <row r="570">
      <c r="E570" s="22"/>
      <c r="K570" s="22"/>
    </row>
    <row r="571">
      <c r="E571" s="22"/>
      <c r="K571" s="22"/>
    </row>
    <row r="572">
      <c r="E572" s="22"/>
      <c r="K572" s="22"/>
    </row>
    <row r="573">
      <c r="E573" s="22"/>
      <c r="K573" s="22"/>
    </row>
    <row r="574">
      <c r="E574" s="22"/>
      <c r="K574" s="22"/>
    </row>
    <row r="575">
      <c r="E575" s="22"/>
      <c r="K575" s="22"/>
    </row>
    <row r="576">
      <c r="E576" s="22"/>
      <c r="K576" s="22"/>
    </row>
    <row r="577">
      <c r="E577" s="22"/>
      <c r="K577" s="22"/>
    </row>
    <row r="578">
      <c r="E578" s="22"/>
      <c r="K578" s="22"/>
    </row>
    <row r="579">
      <c r="E579" s="22"/>
      <c r="K579" s="22"/>
    </row>
    <row r="580">
      <c r="E580" s="22"/>
      <c r="K580" s="22"/>
    </row>
    <row r="581">
      <c r="E581" s="22"/>
      <c r="K581" s="22"/>
    </row>
    <row r="582">
      <c r="E582" s="22"/>
      <c r="K582" s="22"/>
    </row>
    <row r="583">
      <c r="E583" s="22"/>
      <c r="K583" s="22"/>
    </row>
    <row r="584">
      <c r="E584" s="22"/>
      <c r="K584" s="22"/>
    </row>
    <row r="585">
      <c r="E585" s="22"/>
      <c r="K585" s="22"/>
    </row>
    <row r="586">
      <c r="E586" s="22"/>
      <c r="K586" s="22"/>
    </row>
    <row r="587">
      <c r="E587" s="22"/>
      <c r="K587" s="22"/>
    </row>
    <row r="588">
      <c r="E588" s="22"/>
      <c r="K588" s="22"/>
    </row>
    <row r="589">
      <c r="E589" s="22"/>
      <c r="K589" s="22"/>
    </row>
    <row r="590">
      <c r="E590" s="22"/>
      <c r="K590" s="22"/>
    </row>
    <row r="591">
      <c r="E591" s="22"/>
      <c r="K591" s="22"/>
    </row>
    <row r="592">
      <c r="E592" s="22"/>
      <c r="K592" s="22"/>
    </row>
    <row r="593">
      <c r="E593" s="22"/>
      <c r="K593" s="22"/>
    </row>
    <row r="594">
      <c r="E594" s="22"/>
      <c r="K594" s="22"/>
    </row>
    <row r="595">
      <c r="E595" s="22"/>
      <c r="K595" s="22"/>
    </row>
    <row r="596">
      <c r="E596" s="22"/>
      <c r="K596" s="22"/>
    </row>
    <row r="597">
      <c r="E597" s="22"/>
      <c r="K597" s="22"/>
    </row>
    <row r="598">
      <c r="E598" s="22"/>
      <c r="K598" s="22"/>
    </row>
    <row r="599">
      <c r="E599" s="22"/>
      <c r="K599" s="22"/>
    </row>
    <row r="600">
      <c r="E600" s="22"/>
      <c r="K600" s="22"/>
    </row>
    <row r="601">
      <c r="E601" s="22"/>
      <c r="K601" s="22"/>
    </row>
    <row r="602">
      <c r="E602" s="22"/>
      <c r="K602" s="22"/>
    </row>
    <row r="603">
      <c r="E603" s="22"/>
      <c r="K603" s="22"/>
    </row>
    <row r="604">
      <c r="E604" s="22"/>
      <c r="K604" s="22"/>
    </row>
    <row r="605">
      <c r="E605" s="22"/>
      <c r="K605" s="22"/>
    </row>
    <row r="606">
      <c r="E606" s="22"/>
      <c r="K606" s="22"/>
    </row>
    <row r="607">
      <c r="E607" s="22"/>
      <c r="K607" s="22"/>
    </row>
    <row r="608">
      <c r="E608" s="22"/>
      <c r="K608" s="22"/>
    </row>
    <row r="609">
      <c r="E609" s="22"/>
      <c r="K609" s="22"/>
    </row>
    <row r="610">
      <c r="E610" s="22"/>
      <c r="K610" s="22"/>
    </row>
    <row r="611">
      <c r="E611" s="22"/>
      <c r="K611" s="22"/>
    </row>
    <row r="612">
      <c r="E612" s="22"/>
      <c r="K612" s="22"/>
    </row>
    <row r="613">
      <c r="E613" s="22"/>
      <c r="K613" s="22"/>
    </row>
    <row r="614">
      <c r="E614" s="22"/>
      <c r="K614" s="22"/>
    </row>
    <row r="615">
      <c r="E615" s="22"/>
      <c r="K615" s="22"/>
    </row>
    <row r="616">
      <c r="E616" s="22"/>
      <c r="K616" s="22"/>
    </row>
    <row r="617">
      <c r="E617" s="22"/>
      <c r="K617" s="22"/>
    </row>
    <row r="618">
      <c r="E618" s="22"/>
      <c r="K618" s="22"/>
    </row>
    <row r="619">
      <c r="E619" s="22"/>
      <c r="K619" s="22"/>
    </row>
    <row r="620">
      <c r="E620" s="22"/>
      <c r="K620" s="22"/>
    </row>
    <row r="621">
      <c r="E621" s="22"/>
      <c r="K621" s="22"/>
    </row>
    <row r="622">
      <c r="E622" s="22"/>
      <c r="K622" s="22"/>
    </row>
    <row r="623">
      <c r="E623" s="22"/>
      <c r="K623" s="22"/>
    </row>
    <row r="624">
      <c r="E624" s="22"/>
      <c r="K624" s="22"/>
    </row>
    <row r="625">
      <c r="E625" s="22"/>
      <c r="K625" s="22"/>
    </row>
    <row r="626">
      <c r="E626" s="22"/>
      <c r="K626" s="22"/>
    </row>
    <row r="627">
      <c r="E627" s="22"/>
      <c r="K627" s="22"/>
    </row>
    <row r="628">
      <c r="E628" s="22"/>
      <c r="K628" s="22"/>
    </row>
    <row r="629">
      <c r="E629" s="22"/>
      <c r="K629" s="22"/>
    </row>
    <row r="630">
      <c r="E630" s="22"/>
      <c r="K630" s="22"/>
    </row>
    <row r="631">
      <c r="E631" s="22"/>
      <c r="K631" s="22"/>
    </row>
    <row r="632">
      <c r="E632" s="22"/>
      <c r="K632" s="22"/>
    </row>
    <row r="633">
      <c r="E633" s="22"/>
      <c r="K633" s="22"/>
    </row>
    <row r="634">
      <c r="E634" s="22"/>
      <c r="K634" s="22"/>
    </row>
    <row r="635">
      <c r="E635" s="22"/>
      <c r="K635" s="22"/>
    </row>
    <row r="636">
      <c r="E636" s="22"/>
      <c r="K636" s="22"/>
    </row>
    <row r="637">
      <c r="E637" s="22"/>
      <c r="K637" s="22"/>
    </row>
    <row r="638">
      <c r="E638" s="22"/>
      <c r="K638" s="22"/>
    </row>
    <row r="639">
      <c r="E639" s="22"/>
      <c r="K639" s="22"/>
    </row>
    <row r="640">
      <c r="E640" s="22"/>
      <c r="K640" s="22"/>
    </row>
    <row r="641">
      <c r="E641" s="22"/>
      <c r="K641" s="22"/>
    </row>
    <row r="642">
      <c r="E642" s="22"/>
      <c r="K642" s="22"/>
    </row>
    <row r="643">
      <c r="E643" s="22"/>
      <c r="K643" s="22"/>
    </row>
    <row r="644">
      <c r="E644" s="22"/>
      <c r="K644" s="22"/>
    </row>
    <row r="645">
      <c r="E645" s="22"/>
      <c r="K645" s="22"/>
    </row>
    <row r="646">
      <c r="E646" s="22"/>
      <c r="K646" s="22"/>
    </row>
    <row r="647">
      <c r="E647" s="22"/>
      <c r="K647" s="22"/>
    </row>
    <row r="648">
      <c r="E648" s="22"/>
      <c r="K648" s="22"/>
    </row>
    <row r="649">
      <c r="E649" s="22"/>
      <c r="K649" s="22"/>
    </row>
    <row r="650">
      <c r="E650" s="22"/>
      <c r="K650" s="22"/>
    </row>
    <row r="651">
      <c r="E651" s="22"/>
      <c r="K651" s="22"/>
    </row>
    <row r="652">
      <c r="E652" s="22"/>
      <c r="K652" s="22"/>
    </row>
    <row r="653">
      <c r="E653" s="22"/>
      <c r="K653" s="22"/>
    </row>
    <row r="654">
      <c r="E654" s="22"/>
      <c r="K654" s="22"/>
    </row>
    <row r="655">
      <c r="E655" s="22"/>
      <c r="K655" s="22"/>
    </row>
    <row r="656">
      <c r="E656" s="22"/>
      <c r="K656" s="22"/>
    </row>
    <row r="657">
      <c r="E657" s="22"/>
      <c r="K657" s="22"/>
    </row>
    <row r="658">
      <c r="E658" s="22"/>
      <c r="K658" s="22"/>
    </row>
    <row r="659">
      <c r="E659" s="22"/>
      <c r="K659" s="22"/>
    </row>
    <row r="660">
      <c r="E660" s="22"/>
      <c r="K660" s="22"/>
    </row>
    <row r="661">
      <c r="E661" s="22"/>
      <c r="K661" s="22"/>
    </row>
    <row r="662">
      <c r="E662" s="22"/>
      <c r="K662" s="22"/>
    </row>
    <row r="663">
      <c r="E663" s="22"/>
      <c r="K663" s="22"/>
    </row>
    <row r="664">
      <c r="E664" s="22"/>
      <c r="K664" s="22"/>
    </row>
    <row r="665">
      <c r="E665" s="22"/>
      <c r="K665" s="22"/>
    </row>
    <row r="666">
      <c r="E666" s="22"/>
      <c r="K666" s="22"/>
    </row>
    <row r="667">
      <c r="E667" s="22"/>
      <c r="K667" s="22"/>
    </row>
    <row r="668">
      <c r="E668" s="22"/>
      <c r="K668" s="22"/>
    </row>
    <row r="669">
      <c r="E669" s="22"/>
      <c r="K669" s="22"/>
    </row>
    <row r="670">
      <c r="E670" s="22"/>
      <c r="K670" s="22"/>
    </row>
    <row r="671">
      <c r="E671" s="22"/>
      <c r="K671" s="22"/>
    </row>
    <row r="672">
      <c r="E672" s="22"/>
      <c r="K672" s="22"/>
    </row>
    <row r="673">
      <c r="E673" s="22"/>
      <c r="K673" s="22"/>
    </row>
    <row r="674">
      <c r="E674" s="22"/>
      <c r="K674" s="22"/>
    </row>
    <row r="675">
      <c r="E675" s="22"/>
      <c r="K675" s="22"/>
    </row>
    <row r="676">
      <c r="E676" s="22"/>
      <c r="K676" s="22"/>
    </row>
    <row r="677">
      <c r="E677" s="22"/>
      <c r="K677" s="22"/>
    </row>
    <row r="678">
      <c r="E678" s="22"/>
      <c r="K678" s="22"/>
    </row>
    <row r="679">
      <c r="E679" s="22"/>
      <c r="K679" s="22"/>
    </row>
    <row r="680">
      <c r="E680" s="22"/>
      <c r="K680" s="22"/>
    </row>
    <row r="681">
      <c r="E681" s="22"/>
      <c r="K681" s="22"/>
    </row>
    <row r="682">
      <c r="E682" s="22"/>
      <c r="K682" s="22"/>
    </row>
    <row r="683">
      <c r="E683" s="22"/>
      <c r="K683" s="22"/>
    </row>
    <row r="684">
      <c r="E684" s="22"/>
      <c r="K684" s="22"/>
    </row>
    <row r="685">
      <c r="E685" s="22"/>
      <c r="K685" s="22"/>
    </row>
    <row r="686">
      <c r="E686" s="22"/>
      <c r="K686" s="22"/>
    </row>
    <row r="687">
      <c r="E687" s="22"/>
      <c r="K687" s="22"/>
    </row>
    <row r="688">
      <c r="E688" s="22"/>
      <c r="K688" s="22"/>
    </row>
    <row r="689">
      <c r="E689" s="22"/>
      <c r="K689" s="22"/>
    </row>
    <row r="690">
      <c r="E690" s="22"/>
      <c r="K690" s="22"/>
    </row>
    <row r="691">
      <c r="E691" s="22"/>
      <c r="K691" s="22"/>
    </row>
    <row r="692">
      <c r="E692" s="22"/>
      <c r="K692" s="22"/>
    </row>
    <row r="693">
      <c r="E693" s="22"/>
      <c r="K693" s="22"/>
    </row>
    <row r="694">
      <c r="E694" s="22"/>
      <c r="K694" s="22"/>
    </row>
    <row r="695">
      <c r="E695" s="22"/>
      <c r="K695" s="22"/>
    </row>
    <row r="696">
      <c r="E696" s="22"/>
      <c r="K696" s="22"/>
    </row>
    <row r="697">
      <c r="E697" s="22"/>
      <c r="K697" s="22"/>
    </row>
    <row r="698">
      <c r="E698" s="22"/>
      <c r="K698" s="22"/>
    </row>
    <row r="699">
      <c r="E699" s="22"/>
      <c r="K699" s="22"/>
    </row>
    <row r="700">
      <c r="E700" s="22"/>
      <c r="K700" s="22"/>
    </row>
    <row r="701">
      <c r="E701" s="22"/>
      <c r="K701" s="22"/>
    </row>
    <row r="702">
      <c r="E702" s="22"/>
      <c r="K702" s="22"/>
    </row>
    <row r="703">
      <c r="E703" s="22"/>
      <c r="K703" s="22"/>
    </row>
    <row r="704">
      <c r="E704" s="22"/>
      <c r="K704" s="22"/>
    </row>
    <row r="705">
      <c r="E705" s="22"/>
      <c r="K705" s="22"/>
    </row>
    <row r="706">
      <c r="E706" s="22"/>
      <c r="K706" s="22"/>
    </row>
    <row r="707">
      <c r="E707" s="22"/>
      <c r="K707" s="22"/>
    </row>
    <row r="708">
      <c r="E708" s="22"/>
      <c r="K708" s="22"/>
    </row>
    <row r="709">
      <c r="E709" s="22"/>
      <c r="K709" s="22"/>
    </row>
    <row r="710">
      <c r="E710" s="22"/>
      <c r="K710" s="22"/>
    </row>
    <row r="711">
      <c r="E711" s="22"/>
      <c r="K711" s="22"/>
    </row>
    <row r="712">
      <c r="E712" s="22"/>
      <c r="K712" s="22"/>
    </row>
    <row r="713">
      <c r="E713" s="22"/>
      <c r="K713" s="22"/>
    </row>
    <row r="714">
      <c r="E714" s="22"/>
      <c r="K714" s="22"/>
    </row>
    <row r="715">
      <c r="E715" s="22"/>
      <c r="K715" s="22"/>
    </row>
    <row r="716">
      <c r="E716" s="22"/>
      <c r="K716" s="22"/>
    </row>
    <row r="717">
      <c r="E717" s="22"/>
      <c r="K717" s="22"/>
    </row>
    <row r="718">
      <c r="E718" s="22"/>
      <c r="K718" s="22"/>
    </row>
    <row r="719">
      <c r="E719" s="22"/>
      <c r="K719" s="22"/>
    </row>
    <row r="720">
      <c r="E720" s="22"/>
      <c r="K720" s="22"/>
    </row>
    <row r="721">
      <c r="E721" s="22"/>
      <c r="K721" s="22"/>
    </row>
    <row r="722">
      <c r="E722" s="22"/>
      <c r="K722" s="22"/>
    </row>
    <row r="723">
      <c r="E723" s="22"/>
      <c r="K723" s="22"/>
    </row>
    <row r="724">
      <c r="E724" s="22"/>
      <c r="K724" s="22"/>
    </row>
    <row r="725">
      <c r="E725" s="22"/>
      <c r="K725" s="22"/>
    </row>
    <row r="726">
      <c r="E726" s="22"/>
      <c r="K726" s="22"/>
    </row>
    <row r="727">
      <c r="E727" s="22"/>
      <c r="K727" s="22"/>
    </row>
    <row r="728">
      <c r="E728" s="22"/>
      <c r="K728" s="22"/>
    </row>
    <row r="729">
      <c r="E729" s="22"/>
      <c r="K729" s="22"/>
    </row>
    <row r="730">
      <c r="E730" s="22"/>
      <c r="K730" s="22"/>
    </row>
    <row r="731">
      <c r="E731" s="22"/>
      <c r="K731" s="22"/>
    </row>
    <row r="732">
      <c r="E732" s="22"/>
      <c r="K732" s="22"/>
    </row>
    <row r="733">
      <c r="E733" s="22"/>
      <c r="K733" s="22"/>
    </row>
    <row r="734">
      <c r="E734" s="22"/>
      <c r="K734" s="22"/>
    </row>
    <row r="735">
      <c r="E735" s="22"/>
      <c r="K735" s="22"/>
    </row>
    <row r="736">
      <c r="E736" s="22"/>
      <c r="K736" s="22"/>
    </row>
    <row r="737">
      <c r="E737" s="22"/>
      <c r="K737" s="22"/>
    </row>
    <row r="738">
      <c r="E738" s="22"/>
      <c r="K738" s="22"/>
    </row>
    <row r="739">
      <c r="E739" s="22"/>
      <c r="K739" s="22"/>
    </row>
    <row r="740">
      <c r="E740" s="22"/>
      <c r="K740" s="22"/>
    </row>
    <row r="741">
      <c r="E741" s="22"/>
      <c r="K741" s="22"/>
    </row>
    <row r="742">
      <c r="E742" s="22"/>
      <c r="K742" s="22"/>
    </row>
    <row r="743">
      <c r="E743" s="22"/>
      <c r="K743" s="22"/>
    </row>
    <row r="744">
      <c r="E744" s="22"/>
      <c r="K744" s="22"/>
    </row>
    <row r="745">
      <c r="E745" s="22"/>
      <c r="K745" s="22"/>
    </row>
    <row r="746">
      <c r="E746" s="22"/>
      <c r="K746" s="22"/>
    </row>
    <row r="747">
      <c r="E747" s="22"/>
      <c r="K747" s="22"/>
    </row>
    <row r="748">
      <c r="E748" s="22"/>
      <c r="K748" s="22"/>
    </row>
    <row r="749">
      <c r="E749" s="22"/>
      <c r="K749" s="22"/>
    </row>
    <row r="750">
      <c r="E750" s="22"/>
      <c r="K750" s="22"/>
    </row>
    <row r="751">
      <c r="E751" s="22"/>
      <c r="K751" s="22"/>
    </row>
    <row r="752">
      <c r="E752" s="22"/>
      <c r="K752" s="22"/>
    </row>
    <row r="753">
      <c r="E753" s="22"/>
      <c r="K753" s="22"/>
    </row>
    <row r="754">
      <c r="E754" s="22"/>
      <c r="K754" s="22"/>
    </row>
    <row r="755">
      <c r="E755" s="22"/>
      <c r="K755" s="22"/>
    </row>
    <row r="756">
      <c r="E756" s="22"/>
      <c r="K756" s="22"/>
    </row>
    <row r="757">
      <c r="E757" s="22"/>
      <c r="K757" s="22"/>
    </row>
    <row r="758">
      <c r="E758" s="22"/>
      <c r="K758" s="22"/>
    </row>
    <row r="759">
      <c r="E759" s="22"/>
      <c r="K759" s="22"/>
    </row>
    <row r="760">
      <c r="E760" s="22"/>
      <c r="K760" s="22"/>
    </row>
    <row r="761">
      <c r="E761" s="22"/>
      <c r="K761" s="22"/>
    </row>
    <row r="762">
      <c r="E762" s="22"/>
      <c r="K762" s="22"/>
    </row>
    <row r="763">
      <c r="E763" s="22"/>
      <c r="K763" s="22"/>
    </row>
    <row r="764">
      <c r="E764" s="22"/>
      <c r="K764" s="22"/>
    </row>
    <row r="765">
      <c r="E765" s="22"/>
      <c r="K765" s="22"/>
    </row>
    <row r="766">
      <c r="E766" s="22"/>
      <c r="K766" s="22"/>
    </row>
    <row r="767">
      <c r="E767" s="22"/>
      <c r="K767" s="22"/>
    </row>
    <row r="768">
      <c r="E768" s="22"/>
      <c r="K768" s="22"/>
    </row>
    <row r="769">
      <c r="E769" s="22"/>
      <c r="K769" s="22"/>
    </row>
    <row r="770">
      <c r="E770" s="22"/>
      <c r="K770" s="22"/>
    </row>
    <row r="771">
      <c r="E771" s="22"/>
      <c r="K771" s="22"/>
    </row>
    <row r="772">
      <c r="E772" s="22"/>
      <c r="K772" s="22"/>
    </row>
    <row r="773">
      <c r="E773" s="22"/>
      <c r="K773" s="22"/>
    </row>
    <row r="774">
      <c r="E774" s="22"/>
      <c r="K774" s="22"/>
    </row>
    <row r="775">
      <c r="E775" s="22"/>
      <c r="K775" s="22"/>
    </row>
    <row r="776">
      <c r="E776" s="22"/>
      <c r="K776" s="22"/>
    </row>
    <row r="777">
      <c r="E777" s="22"/>
      <c r="K777" s="22"/>
    </row>
    <row r="778">
      <c r="E778" s="22"/>
      <c r="K778" s="22"/>
    </row>
    <row r="779">
      <c r="E779" s="22"/>
      <c r="K779" s="22"/>
    </row>
    <row r="780">
      <c r="E780" s="22"/>
      <c r="K780" s="22"/>
    </row>
    <row r="781">
      <c r="E781" s="22"/>
      <c r="K781" s="22"/>
    </row>
    <row r="782">
      <c r="E782" s="22"/>
      <c r="K782" s="22"/>
    </row>
    <row r="783">
      <c r="E783" s="22"/>
      <c r="K783" s="22"/>
    </row>
    <row r="784">
      <c r="E784" s="22"/>
      <c r="K784" s="22"/>
    </row>
    <row r="785">
      <c r="E785" s="22"/>
      <c r="K785" s="22"/>
    </row>
    <row r="786">
      <c r="E786" s="22"/>
      <c r="K786" s="22"/>
    </row>
    <row r="787">
      <c r="E787" s="22"/>
      <c r="K787" s="22"/>
    </row>
    <row r="788">
      <c r="E788" s="22"/>
      <c r="K788" s="22"/>
    </row>
    <row r="789">
      <c r="E789" s="22"/>
      <c r="K789" s="22"/>
    </row>
    <row r="790">
      <c r="E790" s="22"/>
      <c r="K790" s="22"/>
    </row>
    <row r="791">
      <c r="E791" s="22"/>
      <c r="K791" s="22"/>
    </row>
    <row r="792">
      <c r="E792" s="22"/>
      <c r="K792" s="22"/>
    </row>
    <row r="793">
      <c r="E793" s="22"/>
      <c r="K793" s="22"/>
    </row>
    <row r="794">
      <c r="E794" s="22"/>
      <c r="K794" s="22"/>
    </row>
    <row r="795">
      <c r="E795" s="22"/>
      <c r="K795" s="22"/>
    </row>
    <row r="796">
      <c r="E796" s="22"/>
      <c r="K796" s="22"/>
    </row>
    <row r="797">
      <c r="E797" s="22"/>
      <c r="K797" s="22"/>
    </row>
    <row r="798">
      <c r="E798" s="22"/>
      <c r="K798" s="22"/>
    </row>
    <row r="799">
      <c r="E799" s="22"/>
      <c r="K799" s="22"/>
    </row>
    <row r="800">
      <c r="E800" s="22"/>
      <c r="K800" s="22"/>
    </row>
    <row r="801">
      <c r="E801" s="22"/>
      <c r="K801" s="22"/>
    </row>
    <row r="802">
      <c r="E802" s="22"/>
      <c r="K802" s="22"/>
    </row>
    <row r="803">
      <c r="E803" s="22"/>
      <c r="K803" s="22"/>
    </row>
    <row r="804">
      <c r="E804" s="22"/>
      <c r="K804" s="22"/>
    </row>
    <row r="805">
      <c r="E805" s="22"/>
      <c r="K805" s="22"/>
    </row>
    <row r="806">
      <c r="E806" s="22"/>
      <c r="K806" s="22"/>
    </row>
    <row r="807">
      <c r="E807" s="22"/>
      <c r="K807" s="22"/>
    </row>
    <row r="808">
      <c r="E808" s="22"/>
      <c r="K808" s="22"/>
    </row>
    <row r="809">
      <c r="E809" s="22"/>
      <c r="K809" s="22"/>
    </row>
    <row r="810">
      <c r="E810" s="22"/>
      <c r="K810" s="22"/>
    </row>
    <row r="811">
      <c r="E811" s="22"/>
      <c r="K811" s="22"/>
    </row>
    <row r="812">
      <c r="E812" s="22"/>
      <c r="K812" s="22"/>
    </row>
    <row r="813">
      <c r="E813" s="22"/>
      <c r="K813" s="22"/>
    </row>
    <row r="814">
      <c r="E814" s="22"/>
      <c r="K814" s="22"/>
    </row>
    <row r="815">
      <c r="E815" s="22"/>
      <c r="K815" s="22"/>
    </row>
    <row r="816">
      <c r="E816" s="22"/>
      <c r="K816" s="22"/>
    </row>
    <row r="817">
      <c r="E817" s="22"/>
      <c r="K817" s="22"/>
    </row>
    <row r="818">
      <c r="E818" s="22"/>
      <c r="K818" s="22"/>
    </row>
    <row r="819">
      <c r="E819" s="22"/>
      <c r="K819" s="22"/>
    </row>
    <row r="820">
      <c r="E820" s="22"/>
      <c r="K820" s="22"/>
    </row>
    <row r="821">
      <c r="E821" s="22"/>
      <c r="K821" s="22"/>
    </row>
    <row r="822">
      <c r="E822" s="22"/>
      <c r="K822" s="22"/>
    </row>
    <row r="823">
      <c r="E823" s="22"/>
      <c r="K823" s="22"/>
    </row>
    <row r="824">
      <c r="E824" s="22"/>
      <c r="K824" s="22"/>
    </row>
    <row r="825">
      <c r="E825" s="22"/>
      <c r="K825" s="22"/>
    </row>
    <row r="826">
      <c r="E826" s="22"/>
      <c r="K826" s="22"/>
    </row>
    <row r="827">
      <c r="E827" s="22"/>
      <c r="K827" s="22"/>
    </row>
    <row r="828">
      <c r="E828" s="22"/>
      <c r="K828" s="22"/>
    </row>
    <row r="829">
      <c r="E829" s="22"/>
      <c r="K829" s="22"/>
    </row>
    <row r="830">
      <c r="E830" s="22"/>
      <c r="K830" s="22"/>
    </row>
    <row r="831">
      <c r="E831" s="22"/>
      <c r="K831" s="22"/>
    </row>
    <row r="832">
      <c r="E832" s="22"/>
      <c r="K832" s="22"/>
    </row>
    <row r="833">
      <c r="E833" s="22"/>
      <c r="K833" s="22"/>
    </row>
    <row r="834">
      <c r="E834" s="22"/>
      <c r="K834" s="22"/>
    </row>
    <row r="835">
      <c r="E835" s="22"/>
      <c r="K835" s="22"/>
    </row>
    <row r="836">
      <c r="E836" s="22"/>
      <c r="K836" s="22"/>
    </row>
    <row r="837">
      <c r="E837" s="22"/>
      <c r="K837" s="22"/>
    </row>
    <row r="838">
      <c r="E838" s="22"/>
      <c r="K838" s="22"/>
    </row>
    <row r="839">
      <c r="E839" s="22"/>
      <c r="K839" s="22"/>
    </row>
    <row r="840">
      <c r="E840" s="22"/>
      <c r="K840" s="22"/>
    </row>
    <row r="841">
      <c r="E841" s="22"/>
      <c r="K841" s="22"/>
    </row>
    <row r="842">
      <c r="E842" s="22"/>
      <c r="K842" s="22"/>
    </row>
    <row r="843">
      <c r="E843" s="22"/>
      <c r="K843" s="22"/>
    </row>
    <row r="844">
      <c r="E844" s="22"/>
      <c r="K844" s="22"/>
    </row>
    <row r="845">
      <c r="E845" s="22"/>
      <c r="K845" s="22"/>
    </row>
    <row r="846">
      <c r="E846" s="22"/>
      <c r="K846" s="22"/>
    </row>
    <row r="847">
      <c r="E847" s="22"/>
      <c r="K847" s="22"/>
    </row>
    <row r="848">
      <c r="E848" s="22"/>
      <c r="K848" s="22"/>
    </row>
    <row r="849">
      <c r="E849" s="22"/>
      <c r="K849" s="22"/>
    </row>
    <row r="850">
      <c r="E850" s="22"/>
      <c r="K850" s="22"/>
    </row>
    <row r="851">
      <c r="E851" s="22"/>
      <c r="K851" s="22"/>
    </row>
    <row r="852">
      <c r="E852" s="22"/>
      <c r="K852" s="22"/>
    </row>
    <row r="853">
      <c r="E853" s="22"/>
      <c r="K853" s="22"/>
    </row>
    <row r="854">
      <c r="E854" s="22"/>
      <c r="K854" s="22"/>
    </row>
    <row r="855">
      <c r="E855" s="22"/>
      <c r="K855" s="22"/>
    </row>
    <row r="856">
      <c r="E856" s="22"/>
      <c r="K856" s="22"/>
    </row>
    <row r="857">
      <c r="E857" s="22"/>
      <c r="K857" s="22"/>
    </row>
    <row r="858">
      <c r="E858" s="22"/>
      <c r="K858" s="22"/>
    </row>
    <row r="859">
      <c r="E859" s="22"/>
      <c r="K859" s="22"/>
    </row>
    <row r="860">
      <c r="E860" s="22"/>
      <c r="K860" s="22"/>
    </row>
    <row r="861">
      <c r="E861" s="22"/>
      <c r="K861" s="22"/>
    </row>
    <row r="862">
      <c r="E862" s="22"/>
      <c r="K862" s="22"/>
    </row>
    <row r="863">
      <c r="E863" s="22"/>
      <c r="K863" s="22"/>
    </row>
    <row r="864">
      <c r="E864" s="22"/>
      <c r="K864" s="22"/>
    </row>
    <row r="865">
      <c r="E865" s="22"/>
      <c r="K865" s="22"/>
    </row>
    <row r="866">
      <c r="E866" s="22"/>
      <c r="K866" s="22"/>
    </row>
    <row r="867">
      <c r="E867" s="22"/>
      <c r="K867" s="22"/>
    </row>
    <row r="868">
      <c r="E868" s="22"/>
      <c r="K868" s="22"/>
    </row>
    <row r="869">
      <c r="E869" s="22"/>
      <c r="K869" s="22"/>
    </row>
    <row r="870">
      <c r="E870" s="22"/>
      <c r="K870" s="22"/>
    </row>
    <row r="871">
      <c r="E871" s="22"/>
      <c r="K871" s="22"/>
    </row>
    <row r="872">
      <c r="E872" s="22"/>
      <c r="K872" s="22"/>
    </row>
    <row r="873">
      <c r="E873" s="22"/>
      <c r="K873" s="22"/>
    </row>
    <row r="874">
      <c r="E874" s="22"/>
      <c r="K874" s="22"/>
    </row>
    <row r="875">
      <c r="E875" s="22"/>
      <c r="K875" s="22"/>
    </row>
    <row r="876">
      <c r="E876" s="22"/>
      <c r="K876" s="22"/>
    </row>
    <row r="877">
      <c r="E877" s="22"/>
      <c r="K877" s="22"/>
    </row>
    <row r="878">
      <c r="E878" s="22"/>
      <c r="K878" s="22"/>
    </row>
    <row r="879">
      <c r="E879" s="22"/>
      <c r="K879" s="22"/>
    </row>
    <row r="880">
      <c r="E880" s="22"/>
      <c r="K880" s="22"/>
    </row>
    <row r="881">
      <c r="E881" s="22"/>
      <c r="K881" s="22"/>
    </row>
    <row r="882">
      <c r="E882" s="22"/>
      <c r="K882" s="22"/>
    </row>
    <row r="883">
      <c r="E883" s="22"/>
      <c r="K883" s="22"/>
    </row>
    <row r="884">
      <c r="E884" s="22"/>
      <c r="K884" s="22"/>
    </row>
    <row r="885">
      <c r="E885" s="22"/>
      <c r="K885" s="22"/>
    </row>
    <row r="886">
      <c r="E886" s="22"/>
      <c r="K886" s="22"/>
    </row>
    <row r="887">
      <c r="E887" s="22"/>
      <c r="K887" s="22"/>
    </row>
    <row r="888">
      <c r="E888" s="22"/>
      <c r="K888" s="22"/>
    </row>
    <row r="889">
      <c r="E889" s="22"/>
      <c r="K889" s="22"/>
    </row>
    <row r="890">
      <c r="E890" s="22"/>
      <c r="K890" s="22"/>
    </row>
    <row r="891">
      <c r="E891" s="22"/>
      <c r="K891" s="22"/>
    </row>
    <row r="892">
      <c r="E892" s="22"/>
      <c r="K892" s="22"/>
    </row>
    <row r="893">
      <c r="E893" s="22"/>
      <c r="K893" s="22"/>
    </row>
    <row r="894">
      <c r="E894" s="22"/>
      <c r="K894" s="22"/>
    </row>
    <row r="895">
      <c r="E895" s="22"/>
      <c r="K895" s="22"/>
    </row>
    <row r="896">
      <c r="E896" s="22"/>
      <c r="K896" s="22"/>
    </row>
    <row r="897">
      <c r="E897" s="22"/>
      <c r="K897" s="22"/>
    </row>
    <row r="898">
      <c r="E898" s="22"/>
      <c r="K898" s="22"/>
    </row>
    <row r="899">
      <c r="E899" s="22"/>
      <c r="K899" s="22"/>
    </row>
    <row r="900">
      <c r="E900" s="22"/>
      <c r="K900" s="22"/>
    </row>
    <row r="901">
      <c r="E901" s="22"/>
      <c r="K901" s="22"/>
    </row>
    <row r="902">
      <c r="E902" s="22"/>
      <c r="K902" s="22"/>
    </row>
    <row r="903">
      <c r="E903" s="22"/>
      <c r="K903" s="22"/>
    </row>
    <row r="904">
      <c r="E904" s="22"/>
      <c r="K904" s="22"/>
    </row>
    <row r="905">
      <c r="E905" s="22"/>
      <c r="K905" s="22"/>
    </row>
    <row r="906">
      <c r="E906" s="22"/>
      <c r="K906" s="22"/>
    </row>
    <row r="907">
      <c r="E907" s="22"/>
      <c r="K907" s="22"/>
    </row>
    <row r="908">
      <c r="E908" s="22"/>
      <c r="K908" s="22"/>
    </row>
    <row r="909">
      <c r="E909" s="22"/>
      <c r="K909" s="22"/>
    </row>
    <row r="910">
      <c r="E910" s="22"/>
      <c r="K910" s="22"/>
    </row>
    <row r="911">
      <c r="E911" s="22"/>
      <c r="K911" s="22"/>
    </row>
    <row r="912">
      <c r="E912" s="22"/>
      <c r="K912" s="22"/>
    </row>
    <row r="913">
      <c r="E913" s="22"/>
      <c r="K913" s="22"/>
    </row>
    <row r="914">
      <c r="E914" s="22"/>
      <c r="K914" s="22"/>
    </row>
    <row r="915">
      <c r="E915" s="22"/>
      <c r="K915" s="22"/>
    </row>
    <row r="916">
      <c r="E916" s="22"/>
      <c r="K916" s="22"/>
    </row>
    <row r="917">
      <c r="E917" s="22"/>
      <c r="K917" s="22"/>
    </row>
    <row r="918">
      <c r="E918" s="22"/>
      <c r="K918" s="22"/>
    </row>
    <row r="919">
      <c r="E919" s="22"/>
      <c r="K919" s="22"/>
    </row>
    <row r="920">
      <c r="E920" s="22"/>
      <c r="K920" s="22"/>
    </row>
    <row r="921">
      <c r="E921" s="22"/>
      <c r="K921" s="22"/>
    </row>
    <row r="922">
      <c r="E922" s="22"/>
      <c r="K922" s="22"/>
    </row>
    <row r="923">
      <c r="E923" s="22"/>
      <c r="K923" s="22"/>
    </row>
    <row r="924">
      <c r="E924" s="22"/>
      <c r="K924" s="22"/>
    </row>
    <row r="925">
      <c r="E925" s="22"/>
      <c r="K925" s="22"/>
    </row>
    <row r="926">
      <c r="E926" s="22"/>
      <c r="K926" s="22"/>
    </row>
    <row r="927">
      <c r="E927" s="22"/>
      <c r="K927" s="22"/>
    </row>
    <row r="928">
      <c r="E928" s="22"/>
      <c r="K928" s="22"/>
    </row>
    <row r="929">
      <c r="E929" s="22"/>
      <c r="K929" s="22"/>
    </row>
    <row r="930">
      <c r="E930" s="22"/>
      <c r="K930" s="22"/>
    </row>
    <row r="931">
      <c r="E931" s="22"/>
      <c r="K931" s="22"/>
    </row>
    <row r="932">
      <c r="E932" s="22"/>
      <c r="K932" s="22"/>
    </row>
    <row r="933">
      <c r="E933" s="22"/>
      <c r="K933" s="22"/>
    </row>
    <row r="934">
      <c r="E934" s="22"/>
      <c r="K934" s="22"/>
    </row>
    <row r="935">
      <c r="E935" s="22"/>
      <c r="K935" s="22"/>
    </row>
    <row r="936">
      <c r="E936" s="22"/>
      <c r="K936" s="22"/>
    </row>
    <row r="937">
      <c r="E937" s="22"/>
      <c r="K937" s="22"/>
    </row>
    <row r="938">
      <c r="E938" s="22"/>
      <c r="K938" s="22"/>
    </row>
    <row r="939">
      <c r="E939" s="22"/>
      <c r="K939" s="22"/>
    </row>
    <row r="940">
      <c r="E940" s="22"/>
      <c r="K940" s="22"/>
    </row>
    <row r="941">
      <c r="E941" s="22"/>
      <c r="K941" s="22"/>
    </row>
    <row r="942">
      <c r="E942" s="22"/>
      <c r="K942" s="22"/>
    </row>
    <row r="943">
      <c r="E943" s="22"/>
      <c r="K943" s="22"/>
    </row>
    <row r="944">
      <c r="E944" s="22"/>
      <c r="K944" s="22"/>
    </row>
    <row r="945">
      <c r="E945" s="22"/>
      <c r="K945" s="22"/>
    </row>
    <row r="946">
      <c r="E946" s="22"/>
      <c r="K946" s="22"/>
    </row>
    <row r="947">
      <c r="E947" s="22"/>
      <c r="K947" s="22"/>
    </row>
    <row r="948">
      <c r="E948" s="22"/>
      <c r="K948" s="22"/>
    </row>
    <row r="949">
      <c r="E949" s="22"/>
      <c r="K949" s="22"/>
    </row>
    <row r="950">
      <c r="E950" s="22"/>
      <c r="K950" s="22"/>
    </row>
    <row r="951">
      <c r="E951" s="22"/>
      <c r="K951" s="22"/>
    </row>
    <row r="952">
      <c r="E952" s="22"/>
      <c r="K952" s="22"/>
    </row>
    <row r="953">
      <c r="E953" s="22"/>
      <c r="K953" s="22"/>
    </row>
    <row r="954">
      <c r="E954" s="22"/>
      <c r="K954" s="22"/>
    </row>
    <row r="955">
      <c r="E955" s="22"/>
      <c r="K955" s="22"/>
    </row>
    <row r="956">
      <c r="E956" s="22"/>
      <c r="K956" s="22"/>
    </row>
    <row r="957">
      <c r="E957" s="22"/>
      <c r="K957" s="22"/>
    </row>
    <row r="958">
      <c r="E958" s="22"/>
      <c r="K958" s="22"/>
    </row>
    <row r="959">
      <c r="E959" s="22"/>
      <c r="K959" s="22"/>
    </row>
    <row r="960">
      <c r="E960" s="22"/>
      <c r="K960" s="22"/>
    </row>
    <row r="961">
      <c r="E961" s="22"/>
      <c r="K961" s="22"/>
    </row>
    <row r="962">
      <c r="E962" s="22"/>
      <c r="K962" s="22"/>
    </row>
    <row r="963">
      <c r="E963" s="22"/>
      <c r="K963" s="22"/>
    </row>
    <row r="964">
      <c r="E964" s="22"/>
      <c r="K964" s="22"/>
    </row>
    <row r="965">
      <c r="E965" s="22"/>
      <c r="K965" s="22"/>
    </row>
    <row r="966">
      <c r="E966" s="22"/>
      <c r="K966" s="22"/>
    </row>
    <row r="967">
      <c r="E967" s="22"/>
      <c r="K967" s="22"/>
    </row>
    <row r="968">
      <c r="E968" s="22"/>
      <c r="K968" s="22"/>
    </row>
    <row r="969">
      <c r="E969" s="22"/>
      <c r="K969" s="22"/>
    </row>
    <row r="970">
      <c r="E970" s="22"/>
      <c r="K970" s="22"/>
    </row>
    <row r="971">
      <c r="E971" s="22"/>
      <c r="K971" s="22"/>
    </row>
    <row r="972">
      <c r="E972" s="22"/>
      <c r="K972" s="22"/>
    </row>
    <row r="973">
      <c r="E973" s="22"/>
      <c r="K973" s="22"/>
    </row>
    <row r="974">
      <c r="E974" s="22"/>
      <c r="K974" s="22"/>
    </row>
    <row r="975">
      <c r="E975" s="22"/>
      <c r="K975" s="22"/>
    </row>
    <row r="976">
      <c r="E976" s="22"/>
      <c r="K976" s="22"/>
    </row>
    <row r="977">
      <c r="E977" s="22"/>
      <c r="K977" s="22"/>
    </row>
    <row r="978">
      <c r="E978" s="22"/>
      <c r="K978" s="22"/>
    </row>
    <row r="979">
      <c r="E979" s="22"/>
      <c r="K979" s="22"/>
    </row>
    <row r="980">
      <c r="E980" s="22"/>
      <c r="K980" s="22"/>
    </row>
    <row r="981">
      <c r="E981" s="22"/>
      <c r="K981" s="22"/>
    </row>
    <row r="982">
      <c r="E982" s="22"/>
      <c r="K982" s="22"/>
    </row>
    <row r="983">
      <c r="E983" s="22"/>
      <c r="K983" s="22"/>
    </row>
    <row r="984">
      <c r="E984" s="22"/>
      <c r="K984" s="22"/>
    </row>
    <row r="985">
      <c r="E985" s="22"/>
      <c r="K985" s="22"/>
    </row>
    <row r="986">
      <c r="E986" s="22"/>
      <c r="K986" s="22"/>
    </row>
    <row r="987">
      <c r="E987" s="22"/>
      <c r="K987" s="22"/>
    </row>
    <row r="988">
      <c r="E988" s="22"/>
      <c r="K988" s="22"/>
    </row>
    <row r="989">
      <c r="E989" s="22"/>
      <c r="K989" s="22"/>
    </row>
    <row r="990">
      <c r="E990" s="22"/>
      <c r="K990" s="22"/>
    </row>
    <row r="991">
      <c r="E991" s="22"/>
      <c r="K991" s="22"/>
    </row>
    <row r="992">
      <c r="E992" s="22"/>
      <c r="K992" s="22"/>
    </row>
    <row r="993">
      <c r="E993" s="22"/>
      <c r="K993" s="22"/>
    </row>
    <row r="994">
      <c r="E994" s="22"/>
      <c r="K994" s="22"/>
    </row>
    <row r="995">
      <c r="E995" s="22"/>
      <c r="K995" s="22"/>
    </row>
    <row r="996">
      <c r="E996" s="22"/>
      <c r="K996" s="22"/>
    </row>
    <row r="997">
      <c r="E997" s="22"/>
      <c r="K997" s="22"/>
    </row>
    <row r="998">
      <c r="E998" s="22"/>
      <c r="K998" s="22"/>
    </row>
    <row r="999">
      <c r="E999" s="22"/>
      <c r="K999" s="22"/>
    </row>
    <row r="1000">
      <c r="E1000" s="22"/>
      <c r="K1000" s="2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157.13</v>
      </c>
      <c r="D1" s="1" t="s">
        <v>2</v>
      </c>
      <c r="E1" s="3">
        <f>SUM(E3:E62)</f>
        <v>181.07</v>
      </c>
      <c r="G1" s="1" t="s">
        <v>4</v>
      </c>
      <c r="H1" s="3">
        <f>SUM(H3:H62)</f>
        <v>0</v>
      </c>
      <c r="J1" s="1" t="s">
        <v>8</v>
      </c>
      <c r="K1" s="3">
        <f>SUM(K3:K62)</f>
        <v>1861.22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8" t="s">
        <v>21</v>
      </c>
      <c r="G2" s="7" t="s">
        <v>20</v>
      </c>
      <c r="H2" s="8" t="s">
        <v>21</v>
      </c>
      <c r="J2" s="7" t="s">
        <v>20</v>
      </c>
      <c r="K2" s="20" t="s">
        <v>21</v>
      </c>
      <c r="M2" s="7" t="s">
        <v>20</v>
      </c>
      <c r="N2" s="8" t="s">
        <v>21</v>
      </c>
    </row>
    <row r="3">
      <c r="A3" s="11" t="s">
        <v>32</v>
      </c>
      <c r="B3" s="12">
        <v>3.24</v>
      </c>
      <c r="D3" s="11" t="s">
        <v>24</v>
      </c>
      <c r="E3" s="12">
        <v>57.23</v>
      </c>
      <c r="G3" s="14"/>
      <c r="H3" s="15"/>
      <c r="J3" s="11"/>
      <c r="K3" s="12">
        <v>524.74</v>
      </c>
      <c r="M3" s="11"/>
      <c r="N3" s="16"/>
    </row>
    <row r="4">
      <c r="A4" s="11" t="s">
        <v>95</v>
      </c>
      <c r="B4" s="12">
        <v>4.99</v>
      </c>
      <c r="D4" s="11" t="s">
        <v>24</v>
      </c>
      <c r="E4" s="12">
        <v>32.71</v>
      </c>
      <c r="G4" s="14"/>
      <c r="H4" s="15"/>
      <c r="J4" s="11"/>
      <c r="K4" s="12">
        <v>50.0</v>
      </c>
      <c r="M4" s="11"/>
      <c r="N4" s="16"/>
    </row>
    <row r="5">
      <c r="A5" s="11" t="s">
        <v>32</v>
      </c>
      <c r="B5" s="12">
        <v>3.18</v>
      </c>
      <c r="D5" s="11" t="s">
        <v>188</v>
      </c>
      <c r="E5" s="12">
        <v>91.13</v>
      </c>
      <c r="G5" s="14"/>
      <c r="H5" s="15"/>
      <c r="J5" s="11" t="s">
        <v>179</v>
      </c>
      <c r="K5" s="12">
        <v>269.59</v>
      </c>
      <c r="M5" s="14"/>
      <c r="N5" s="15"/>
    </row>
    <row r="6">
      <c r="A6" s="11" t="s">
        <v>30</v>
      </c>
      <c r="B6" s="12">
        <v>7.28</v>
      </c>
      <c r="D6" s="14"/>
      <c r="E6" s="23"/>
      <c r="G6" s="14"/>
      <c r="H6" s="15"/>
      <c r="J6" s="11" t="s">
        <v>189</v>
      </c>
      <c r="K6" s="12">
        <v>50.0</v>
      </c>
      <c r="M6" s="14"/>
      <c r="N6" s="15"/>
    </row>
    <row r="7">
      <c r="A7" s="11" t="s">
        <v>30</v>
      </c>
      <c r="B7" s="12">
        <v>6.6</v>
      </c>
      <c r="D7" s="14"/>
      <c r="E7" s="23"/>
      <c r="G7" s="14"/>
      <c r="H7" s="15"/>
      <c r="J7" s="11" t="s">
        <v>66</v>
      </c>
      <c r="K7" s="12">
        <v>17.86</v>
      </c>
      <c r="M7" s="14"/>
      <c r="N7" s="15"/>
    </row>
    <row r="8">
      <c r="A8" s="11" t="s">
        <v>32</v>
      </c>
      <c r="B8" s="12">
        <v>16.71</v>
      </c>
      <c r="D8" s="14"/>
      <c r="E8" s="23"/>
      <c r="G8" s="14"/>
      <c r="H8" s="15"/>
      <c r="J8" s="11" t="s">
        <v>190</v>
      </c>
      <c r="K8" s="12">
        <v>40.46</v>
      </c>
      <c r="M8" s="14"/>
      <c r="N8" s="15"/>
    </row>
    <row r="9">
      <c r="A9" s="11" t="s">
        <v>23</v>
      </c>
      <c r="B9" s="12">
        <v>2.09</v>
      </c>
      <c r="D9" s="14"/>
      <c r="E9" s="23"/>
      <c r="G9" s="14"/>
      <c r="H9" s="15"/>
      <c r="J9" s="11" t="s">
        <v>121</v>
      </c>
      <c r="K9" s="12">
        <v>7.36</v>
      </c>
      <c r="M9" s="14"/>
      <c r="N9" s="15"/>
    </row>
    <row r="10">
      <c r="A10" s="11" t="s">
        <v>95</v>
      </c>
      <c r="B10" s="12">
        <v>12.34</v>
      </c>
      <c r="D10" s="14"/>
      <c r="E10" s="23"/>
      <c r="G10" s="14"/>
      <c r="H10" s="15"/>
      <c r="J10" s="11" t="s">
        <v>121</v>
      </c>
      <c r="K10" s="12">
        <v>18.06</v>
      </c>
      <c r="M10" s="14"/>
      <c r="N10" s="15"/>
    </row>
    <row r="11">
      <c r="A11" s="11" t="s">
        <v>191</v>
      </c>
      <c r="B11" s="12">
        <v>3.93</v>
      </c>
      <c r="D11" s="14"/>
      <c r="E11" s="23"/>
      <c r="G11" s="14"/>
      <c r="H11" s="15"/>
      <c r="J11" s="11" t="s">
        <v>121</v>
      </c>
      <c r="K11" s="12">
        <v>10.99</v>
      </c>
      <c r="M11" s="14"/>
      <c r="N11" s="15"/>
    </row>
    <row r="12">
      <c r="A12" s="11" t="s">
        <v>23</v>
      </c>
      <c r="B12" s="12">
        <v>2.09</v>
      </c>
      <c r="D12" s="14"/>
      <c r="E12" s="23"/>
      <c r="G12" s="14"/>
      <c r="H12" s="15"/>
      <c r="J12" s="11" t="s">
        <v>192</v>
      </c>
      <c r="K12" s="12">
        <v>1.0</v>
      </c>
      <c r="M12" s="14"/>
      <c r="N12" s="15"/>
    </row>
    <row r="13">
      <c r="A13" s="11" t="s">
        <v>23</v>
      </c>
      <c r="B13" s="12">
        <v>3.68</v>
      </c>
      <c r="D13" s="14"/>
      <c r="E13" s="23"/>
      <c r="G13" s="14"/>
      <c r="H13" s="15"/>
      <c r="J13" s="11" t="s">
        <v>193</v>
      </c>
      <c r="K13" s="12">
        <v>49.95</v>
      </c>
      <c r="M13" s="14"/>
      <c r="N13" s="15"/>
    </row>
    <row r="14">
      <c r="A14" s="11" t="s">
        <v>30</v>
      </c>
      <c r="B14" s="12">
        <v>3.1</v>
      </c>
      <c r="D14" s="14"/>
      <c r="E14" s="23"/>
      <c r="G14" s="14"/>
      <c r="H14" s="15"/>
      <c r="J14" s="11" t="s">
        <v>121</v>
      </c>
      <c r="K14" s="12">
        <v>8.95</v>
      </c>
      <c r="M14" s="14"/>
      <c r="N14" s="15"/>
    </row>
    <row r="15">
      <c r="A15" s="11" t="s">
        <v>23</v>
      </c>
      <c r="B15" s="12">
        <v>6.8</v>
      </c>
      <c r="D15" s="14"/>
      <c r="E15" s="23"/>
      <c r="G15" s="14"/>
      <c r="H15" s="15"/>
      <c r="J15" s="11" t="s">
        <v>121</v>
      </c>
      <c r="K15" s="12">
        <v>16.58</v>
      </c>
      <c r="M15" s="14"/>
      <c r="N15" s="15"/>
    </row>
    <row r="16">
      <c r="A16" s="11" t="s">
        <v>32</v>
      </c>
      <c r="B16" s="12">
        <v>8.0</v>
      </c>
      <c r="D16" s="14"/>
      <c r="E16" s="23"/>
      <c r="G16" s="14"/>
      <c r="H16" s="15"/>
      <c r="J16" s="11" t="s">
        <v>194</v>
      </c>
      <c r="K16" s="12">
        <v>21.42</v>
      </c>
      <c r="M16" s="14"/>
      <c r="N16" s="15"/>
    </row>
    <row r="17">
      <c r="A17" s="11" t="s">
        <v>195</v>
      </c>
      <c r="B17" s="12">
        <v>3.0</v>
      </c>
      <c r="D17" s="14"/>
      <c r="E17" s="23"/>
      <c r="G17" s="14"/>
      <c r="H17" s="15"/>
      <c r="J17" s="11" t="s">
        <v>126</v>
      </c>
      <c r="K17" s="12">
        <v>12.0</v>
      </c>
      <c r="M17" s="14"/>
      <c r="N17" s="15"/>
    </row>
    <row r="18">
      <c r="A18" s="11" t="s">
        <v>23</v>
      </c>
      <c r="B18" s="12">
        <v>2.43</v>
      </c>
      <c r="D18" s="14"/>
      <c r="E18" s="23"/>
      <c r="G18" s="14"/>
      <c r="H18" s="15"/>
      <c r="J18" s="11" t="s">
        <v>121</v>
      </c>
      <c r="K18" s="12">
        <v>17.99</v>
      </c>
      <c r="M18" s="14"/>
      <c r="N18" s="15"/>
    </row>
    <row r="19">
      <c r="A19" s="11" t="s">
        <v>23</v>
      </c>
      <c r="B19" s="12">
        <v>3.96</v>
      </c>
      <c r="D19" s="14"/>
      <c r="E19" s="23"/>
      <c r="G19" s="14"/>
      <c r="H19" s="15"/>
      <c r="J19" s="11" t="s">
        <v>121</v>
      </c>
      <c r="K19" s="12">
        <v>8.86</v>
      </c>
      <c r="M19" s="14"/>
      <c r="N19" s="15"/>
    </row>
    <row r="20">
      <c r="A20" s="11" t="s">
        <v>23</v>
      </c>
      <c r="B20" s="12">
        <v>2.88</v>
      </c>
      <c r="D20" s="14"/>
      <c r="E20" s="23"/>
      <c r="G20" s="14"/>
      <c r="H20" s="15"/>
      <c r="J20" s="11" t="s">
        <v>196</v>
      </c>
      <c r="K20" s="12">
        <v>110.0</v>
      </c>
      <c r="M20" s="14"/>
      <c r="N20" s="15"/>
    </row>
    <row r="21">
      <c r="A21" s="11" t="s">
        <v>23</v>
      </c>
      <c r="B21" s="12">
        <v>16.1</v>
      </c>
      <c r="D21" s="14"/>
      <c r="E21" s="23"/>
      <c r="G21" s="14"/>
      <c r="H21" s="15"/>
      <c r="J21" s="11" t="s">
        <v>179</v>
      </c>
      <c r="K21" s="12">
        <v>380.5</v>
      </c>
      <c r="M21" s="14"/>
      <c r="N21" s="15"/>
    </row>
    <row r="22">
      <c r="A22" s="11" t="s">
        <v>197</v>
      </c>
      <c r="B22" s="12">
        <v>8.05</v>
      </c>
      <c r="D22" s="14"/>
      <c r="E22" s="23"/>
      <c r="G22" s="14"/>
      <c r="H22" s="15"/>
      <c r="J22" s="11" t="s">
        <v>198</v>
      </c>
      <c r="K22" s="12">
        <v>12.99</v>
      </c>
      <c r="M22" s="14"/>
      <c r="N22" s="15"/>
    </row>
    <row r="23">
      <c r="A23" s="11" t="s">
        <v>55</v>
      </c>
      <c r="B23" s="12">
        <v>6.0</v>
      </c>
      <c r="D23" s="14"/>
      <c r="E23" s="23"/>
      <c r="G23" s="14"/>
      <c r="H23" s="15"/>
      <c r="J23" s="46" t="s">
        <v>198</v>
      </c>
      <c r="K23" s="12">
        <v>29.99</v>
      </c>
      <c r="M23" s="14"/>
      <c r="N23" s="15"/>
    </row>
    <row r="24">
      <c r="A24" s="11" t="s">
        <v>200</v>
      </c>
      <c r="B24" s="12">
        <v>4.18</v>
      </c>
      <c r="D24" s="14"/>
      <c r="E24" s="23"/>
      <c r="G24" s="14"/>
      <c r="H24" s="15"/>
      <c r="J24" s="11" t="s">
        <v>35</v>
      </c>
      <c r="K24" s="12">
        <v>25.0</v>
      </c>
      <c r="M24" s="14"/>
      <c r="N24" s="15"/>
    </row>
    <row r="25">
      <c r="A25" s="11" t="s">
        <v>23</v>
      </c>
      <c r="B25" s="12">
        <v>4.62</v>
      </c>
      <c r="D25" s="14"/>
      <c r="E25" s="23"/>
      <c r="G25" s="14"/>
      <c r="H25" s="15"/>
      <c r="J25" s="11" t="s">
        <v>202</v>
      </c>
      <c r="K25" s="12">
        <v>50.0</v>
      </c>
      <c r="M25" s="14"/>
      <c r="N25" s="15"/>
    </row>
    <row r="26">
      <c r="A26" s="11" t="s">
        <v>23</v>
      </c>
      <c r="B26" s="12">
        <v>2.3</v>
      </c>
      <c r="D26" s="14"/>
      <c r="E26" s="23"/>
      <c r="G26" s="14"/>
      <c r="H26" s="15"/>
      <c r="J26" s="11" t="s">
        <v>121</v>
      </c>
      <c r="K26" s="12">
        <v>14.99</v>
      </c>
      <c r="M26" s="14"/>
      <c r="N26" s="15"/>
    </row>
    <row r="27">
      <c r="A27" s="11" t="s">
        <v>23</v>
      </c>
      <c r="B27" s="12">
        <v>2.68</v>
      </c>
      <c r="D27" s="14"/>
      <c r="E27" s="23"/>
      <c r="G27" s="14"/>
      <c r="H27" s="15"/>
      <c r="J27" s="11" t="s">
        <v>121</v>
      </c>
      <c r="K27" s="12">
        <v>25.99</v>
      </c>
      <c r="M27" s="14"/>
      <c r="N27" s="15"/>
    </row>
    <row r="28">
      <c r="A28" s="11" t="s">
        <v>32</v>
      </c>
      <c r="B28" s="12">
        <v>16.9</v>
      </c>
      <c r="D28" s="14"/>
      <c r="E28" s="23"/>
      <c r="G28" s="14"/>
      <c r="H28" s="15"/>
      <c r="J28" s="11" t="s">
        <v>121</v>
      </c>
      <c r="K28" s="12">
        <v>2.99</v>
      </c>
      <c r="M28" s="14"/>
      <c r="N28" s="15"/>
    </row>
    <row r="29">
      <c r="A29" s="11"/>
      <c r="B29" s="12"/>
      <c r="D29" s="14"/>
      <c r="E29" s="23"/>
      <c r="G29" s="14"/>
      <c r="H29" s="15"/>
      <c r="J29" s="11" t="s">
        <v>121</v>
      </c>
      <c r="K29" s="12">
        <v>13.9</v>
      </c>
      <c r="M29" s="14"/>
      <c r="N29" s="15"/>
    </row>
    <row r="30">
      <c r="A30" s="11"/>
      <c r="B30" s="12"/>
      <c r="D30" s="14"/>
      <c r="E30" s="23"/>
      <c r="G30" s="14"/>
      <c r="H30" s="15"/>
      <c r="J30" s="11" t="s">
        <v>208</v>
      </c>
      <c r="K30" s="12">
        <v>1.0</v>
      </c>
      <c r="M30" s="14"/>
      <c r="N30" s="15"/>
    </row>
    <row r="31">
      <c r="A31" s="11"/>
      <c r="B31" s="12"/>
      <c r="D31" s="14"/>
      <c r="E31" s="23"/>
      <c r="G31" s="14"/>
      <c r="H31" s="15"/>
      <c r="J31" s="11" t="s">
        <v>209</v>
      </c>
      <c r="K31" s="12">
        <v>35.0</v>
      </c>
      <c r="M31" s="14"/>
      <c r="N31" s="15"/>
    </row>
    <row r="32">
      <c r="A32" s="11"/>
      <c r="B32" s="12"/>
      <c r="D32" s="14"/>
      <c r="E32" s="23"/>
      <c r="G32" s="14"/>
      <c r="H32" s="15"/>
      <c r="J32" s="11" t="s">
        <v>209</v>
      </c>
      <c r="K32" s="12">
        <v>4.99</v>
      </c>
      <c r="M32" s="14"/>
      <c r="N32" s="15"/>
    </row>
    <row r="33">
      <c r="A33" s="11"/>
      <c r="B33" s="12"/>
      <c r="D33" s="14"/>
      <c r="E33" s="23"/>
      <c r="G33" s="14"/>
      <c r="H33" s="15"/>
      <c r="J33" s="11" t="s">
        <v>210</v>
      </c>
      <c r="K33" s="12">
        <v>17.74</v>
      </c>
      <c r="M33" s="14"/>
      <c r="N33" s="15"/>
    </row>
    <row r="34">
      <c r="A34" s="11"/>
      <c r="B34" s="12"/>
      <c r="D34" s="14"/>
      <c r="E34" s="23"/>
      <c r="G34" s="14"/>
      <c r="H34" s="15"/>
      <c r="J34" s="11" t="s">
        <v>211</v>
      </c>
      <c r="K34" s="12">
        <v>10.33</v>
      </c>
      <c r="M34" s="14"/>
      <c r="N34" s="15"/>
    </row>
    <row r="35">
      <c r="A35" s="11"/>
      <c r="B35" s="12"/>
      <c r="D35" s="14"/>
      <c r="E35" s="23"/>
      <c r="G35" s="14"/>
      <c r="H35" s="15"/>
      <c r="J35" s="14"/>
      <c r="K35" s="23"/>
      <c r="M35" s="14"/>
      <c r="N35" s="15"/>
    </row>
    <row r="36">
      <c r="A36" s="11"/>
      <c r="B36" s="12"/>
      <c r="D36" s="14"/>
      <c r="E36" s="23"/>
      <c r="G36" s="14"/>
      <c r="H36" s="15"/>
      <c r="J36" s="14"/>
      <c r="K36" s="23"/>
      <c r="M36" s="14"/>
      <c r="N36" s="15"/>
    </row>
    <row r="37">
      <c r="A37" s="11"/>
      <c r="B37" s="12"/>
      <c r="D37" s="14"/>
      <c r="E37" s="23"/>
      <c r="G37" s="14"/>
      <c r="H37" s="15"/>
      <c r="J37" s="14"/>
      <c r="K37" s="23"/>
      <c r="M37" s="14"/>
      <c r="N37" s="15"/>
    </row>
    <row r="38">
      <c r="A38" s="11"/>
      <c r="B38" s="12"/>
      <c r="D38" s="14"/>
      <c r="E38" s="23"/>
      <c r="G38" s="14"/>
      <c r="H38" s="15"/>
      <c r="J38" s="14"/>
      <c r="K38" s="23"/>
      <c r="M38" s="14"/>
      <c r="N38" s="15"/>
    </row>
    <row r="39">
      <c r="A39" s="11"/>
      <c r="B39" s="12"/>
      <c r="D39" s="14"/>
      <c r="E39" s="23"/>
      <c r="G39" s="14"/>
      <c r="H39" s="15"/>
      <c r="J39" s="14"/>
      <c r="K39" s="23"/>
      <c r="M39" s="14"/>
      <c r="N39" s="15"/>
    </row>
    <row r="40">
      <c r="A40" s="11"/>
      <c r="B40" s="12"/>
      <c r="D40" s="14"/>
      <c r="E40" s="23"/>
      <c r="G40" s="14"/>
      <c r="H40" s="15"/>
      <c r="J40" s="14"/>
      <c r="K40" s="23"/>
      <c r="M40" s="14"/>
      <c r="N40" s="15"/>
    </row>
    <row r="41">
      <c r="A41" s="11"/>
      <c r="B41" s="12"/>
      <c r="D41" s="14"/>
      <c r="E41" s="23"/>
      <c r="G41" s="14"/>
      <c r="H41" s="15"/>
      <c r="J41" s="14"/>
      <c r="K41" s="23"/>
      <c r="M41" s="14"/>
      <c r="N41" s="15"/>
    </row>
    <row r="42">
      <c r="A42" s="11"/>
      <c r="B42" s="12"/>
      <c r="D42" s="14"/>
      <c r="E42" s="23"/>
      <c r="G42" s="14"/>
      <c r="H42" s="15"/>
      <c r="J42" s="14"/>
      <c r="K42" s="23"/>
      <c r="M42" s="14"/>
      <c r="N42" s="15"/>
    </row>
    <row r="43">
      <c r="A43" s="11"/>
      <c r="B43" s="12"/>
      <c r="D43" s="14"/>
      <c r="E43" s="23"/>
      <c r="G43" s="14"/>
      <c r="H43" s="15"/>
      <c r="J43" s="14"/>
      <c r="K43" s="23"/>
      <c r="M43" s="14"/>
      <c r="N43" s="15"/>
    </row>
    <row r="44">
      <c r="A44" s="11"/>
      <c r="B44" s="12"/>
      <c r="D44" s="14"/>
      <c r="E44" s="23"/>
      <c r="G44" s="14"/>
      <c r="H44" s="15"/>
      <c r="J44" s="14"/>
      <c r="K44" s="23"/>
      <c r="M44" s="14"/>
      <c r="N44" s="15"/>
    </row>
    <row r="45">
      <c r="A45" s="14"/>
      <c r="B45" s="23"/>
      <c r="D45" s="14"/>
      <c r="E45" s="23"/>
      <c r="G45" s="14"/>
      <c r="H45" s="15"/>
      <c r="J45" s="14"/>
      <c r="K45" s="23"/>
      <c r="M45" s="14"/>
      <c r="N45" s="15"/>
    </row>
    <row r="46">
      <c r="A46" s="14"/>
      <c r="B46" s="23"/>
      <c r="D46" s="14"/>
      <c r="E46" s="23"/>
      <c r="G46" s="14"/>
      <c r="H46" s="15"/>
      <c r="J46" s="14"/>
      <c r="K46" s="23"/>
      <c r="M46" s="14"/>
      <c r="N46" s="15"/>
    </row>
    <row r="47">
      <c r="A47" s="14"/>
      <c r="B47" s="23"/>
      <c r="D47" s="14"/>
      <c r="E47" s="23"/>
      <c r="G47" s="14"/>
      <c r="H47" s="15"/>
      <c r="J47" s="14"/>
      <c r="K47" s="23"/>
      <c r="M47" s="14"/>
      <c r="N47" s="15"/>
    </row>
    <row r="48">
      <c r="A48" s="14"/>
      <c r="B48" s="23"/>
      <c r="D48" s="14"/>
      <c r="E48" s="23"/>
      <c r="G48" s="14"/>
      <c r="H48" s="15"/>
      <c r="J48" s="14"/>
      <c r="K48" s="23"/>
      <c r="M48" s="14"/>
      <c r="N48" s="15"/>
    </row>
    <row r="49">
      <c r="A49" s="14"/>
      <c r="B49" s="23"/>
      <c r="D49" s="14"/>
      <c r="E49" s="23"/>
      <c r="G49" s="14"/>
      <c r="H49" s="15"/>
      <c r="J49" s="14"/>
      <c r="K49" s="23"/>
      <c r="M49" s="14"/>
      <c r="N49" s="15"/>
    </row>
    <row r="50">
      <c r="A50" s="14"/>
      <c r="B50" s="23"/>
      <c r="D50" s="14"/>
      <c r="E50" s="23"/>
      <c r="G50" s="14"/>
      <c r="H50" s="15"/>
      <c r="J50" s="14"/>
      <c r="K50" s="23"/>
      <c r="M50" s="14"/>
      <c r="N50" s="15"/>
    </row>
    <row r="51">
      <c r="A51" s="14"/>
      <c r="B51" s="23"/>
      <c r="D51" s="14"/>
      <c r="E51" s="23"/>
      <c r="G51" s="14"/>
      <c r="H51" s="15"/>
      <c r="J51" s="14"/>
      <c r="K51" s="23"/>
      <c r="M51" s="14"/>
      <c r="N51" s="15"/>
    </row>
    <row r="52">
      <c r="A52" s="14"/>
      <c r="B52" s="23"/>
      <c r="D52" s="14"/>
      <c r="E52" s="23"/>
      <c r="G52" s="14"/>
      <c r="H52" s="15"/>
      <c r="J52" s="14"/>
      <c r="K52" s="23"/>
      <c r="M52" s="14"/>
      <c r="N52" s="15"/>
    </row>
    <row r="53">
      <c r="A53" s="14"/>
      <c r="B53" s="23"/>
      <c r="D53" s="14"/>
      <c r="E53" s="23"/>
      <c r="G53" s="14"/>
      <c r="H53" s="15"/>
      <c r="J53" s="14"/>
      <c r="K53" s="23"/>
      <c r="M53" s="14"/>
      <c r="N53" s="15"/>
    </row>
    <row r="54">
      <c r="A54" s="14"/>
      <c r="B54" s="23"/>
      <c r="D54" s="14"/>
      <c r="E54" s="23"/>
      <c r="G54" s="14"/>
      <c r="H54" s="15"/>
      <c r="J54" s="14"/>
      <c r="K54" s="23"/>
      <c r="M54" s="14"/>
      <c r="N54" s="15"/>
    </row>
    <row r="55">
      <c r="A55" s="14"/>
      <c r="B55" s="23"/>
      <c r="D55" s="14"/>
      <c r="E55" s="23"/>
      <c r="G55" s="14"/>
      <c r="H55" s="15"/>
      <c r="J55" s="14"/>
      <c r="K55" s="23"/>
      <c r="M55" s="14"/>
      <c r="N55" s="15"/>
    </row>
    <row r="56">
      <c r="A56" s="14"/>
      <c r="B56" s="23"/>
      <c r="D56" s="14"/>
      <c r="E56" s="23"/>
      <c r="G56" s="14"/>
      <c r="H56" s="15"/>
      <c r="J56" s="14"/>
      <c r="K56" s="23"/>
      <c r="M56" s="14"/>
      <c r="N56" s="15"/>
    </row>
    <row r="57">
      <c r="A57" s="14"/>
      <c r="B57" s="23"/>
      <c r="D57" s="14"/>
      <c r="E57" s="23"/>
      <c r="G57" s="14"/>
      <c r="H57" s="15"/>
      <c r="J57" s="14"/>
      <c r="K57" s="23"/>
      <c r="M57" s="14"/>
      <c r="N57" s="15"/>
    </row>
    <row r="58">
      <c r="A58" s="14"/>
      <c r="B58" s="23"/>
      <c r="D58" s="14"/>
      <c r="E58" s="23"/>
      <c r="G58" s="14"/>
      <c r="H58" s="15"/>
      <c r="J58" s="14"/>
      <c r="K58" s="23"/>
      <c r="M58" s="14"/>
      <c r="N58" s="15"/>
    </row>
    <row r="59">
      <c r="A59" s="14"/>
      <c r="B59" s="23"/>
      <c r="D59" s="14"/>
      <c r="E59" s="23"/>
      <c r="G59" s="14"/>
      <c r="H59" s="15"/>
      <c r="J59" s="14"/>
      <c r="K59" s="23"/>
      <c r="M59" s="14"/>
      <c r="N59" s="15"/>
    </row>
    <row r="60">
      <c r="A60" s="14"/>
      <c r="B60" s="23"/>
      <c r="D60" s="14"/>
      <c r="E60" s="23"/>
      <c r="G60" s="14"/>
      <c r="H60" s="15"/>
      <c r="J60" s="14"/>
      <c r="K60" s="23"/>
      <c r="M60" s="14"/>
      <c r="N60" s="15"/>
    </row>
    <row r="61">
      <c r="A61" s="14"/>
      <c r="B61" s="23"/>
      <c r="D61" s="14"/>
      <c r="E61" s="23"/>
      <c r="G61" s="14"/>
      <c r="H61" s="15"/>
      <c r="J61" s="14"/>
      <c r="K61" s="23"/>
      <c r="M61" s="14"/>
      <c r="N61" s="15"/>
    </row>
    <row r="62">
      <c r="A62" s="33"/>
      <c r="B62" s="34"/>
      <c r="D62" s="33"/>
      <c r="E62" s="34"/>
      <c r="G62" s="33"/>
      <c r="H62" s="35"/>
      <c r="J62" s="33"/>
      <c r="K62" s="34"/>
      <c r="M62" s="33"/>
      <c r="N62" s="35"/>
    </row>
    <row r="63">
      <c r="K63" s="22"/>
    </row>
    <row r="64">
      <c r="K64" s="22"/>
    </row>
    <row r="65">
      <c r="K65" s="22"/>
    </row>
    <row r="66">
      <c r="K66" s="22"/>
    </row>
    <row r="67">
      <c r="K67" s="22"/>
    </row>
    <row r="68">
      <c r="K68" s="22"/>
    </row>
    <row r="69">
      <c r="K69" s="22"/>
    </row>
    <row r="70">
      <c r="K70" s="22"/>
    </row>
    <row r="71">
      <c r="K71" s="22"/>
    </row>
    <row r="72">
      <c r="K72" s="22"/>
    </row>
    <row r="73">
      <c r="K73" s="22"/>
    </row>
    <row r="74">
      <c r="K74" s="22"/>
    </row>
    <row r="75">
      <c r="K75" s="22"/>
    </row>
    <row r="76">
      <c r="K76" s="22"/>
    </row>
    <row r="77">
      <c r="K77" s="22"/>
    </row>
    <row r="78">
      <c r="K78" s="22"/>
    </row>
    <row r="79">
      <c r="K79" s="22"/>
    </row>
    <row r="80">
      <c r="K80" s="22"/>
    </row>
    <row r="81">
      <c r="K81" s="22"/>
    </row>
    <row r="82">
      <c r="K82" s="22"/>
    </row>
    <row r="83">
      <c r="K83" s="22"/>
    </row>
    <row r="84">
      <c r="K84" s="22"/>
    </row>
    <row r="85">
      <c r="K85" s="22"/>
    </row>
    <row r="86">
      <c r="K86" s="22"/>
    </row>
    <row r="87">
      <c r="K87" s="22"/>
    </row>
    <row r="88">
      <c r="K88" s="22"/>
    </row>
    <row r="89">
      <c r="K89" s="22"/>
    </row>
    <row r="90">
      <c r="K90" s="22"/>
    </row>
    <row r="91">
      <c r="K91" s="22"/>
    </row>
    <row r="92">
      <c r="K92" s="22"/>
    </row>
    <row r="93">
      <c r="K93" s="22"/>
    </row>
    <row r="94">
      <c r="K94" s="22"/>
    </row>
    <row r="95">
      <c r="K95" s="22"/>
    </row>
    <row r="96">
      <c r="K96" s="22"/>
    </row>
    <row r="97">
      <c r="K97" s="22"/>
    </row>
    <row r="98">
      <c r="K98" s="22"/>
    </row>
    <row r="99">
      <c r="K99" s="22"/>
    </row>
    <row r="100">
      <c r="K100" s="22"/>
    </row>
    <row r="101">
      <c r="K101" s="22"/>
    </row>
    <row r="102">
      <c r="K102" s="22"/>
    </row>
    <row r="103">
      <c r="K103" s="22"/>
    </row>
    <row r="104">
      <c r="K104" s="22"/>
    </row>
    <row r="105">
      <c r="K105" s="22"/>
    </row>
    <row r="106">
      <c r="K106" s="22"/>
    </row>
    <row r="107">
      <c r="K107" s="22"/>
    </row>
    <row r="108">
      <c r="K108" s="22"/>
    </row>
    <row r="109">
      <c r="K109" s="22"/>
    </row>
    <row r="110">
      <c r="K110" s="22"/>
    </row>
    <row r="111">
      <c r="K111" s="22"/>
    </row>
    <row r="112">
      <c r="K112" s="22"/>
    </row>
    <row r="113">
      <c r="K113" s="22"/>
    </row>
    <row r="114">
      <c r="K114" s="22"/>
    </row>
    <row r="115">
      <c r="K115" s="22"/>
    </row>
    <row r="116">
      <c r="K116" s="22"/>
    </row>
    <row r="117">
      <c r="K117" s="22"/>
    </row>
    <row r="118">
      <c r="K118" s="22"/>
    </row>
    <row r="119">
      <c r="K119" s="22"/>
    </row>
    <row r="120">
      <c r="K120" s="22"/>
    </row>
    <row r="121">
      <c r="K121" s="22"/>
    </row>
    <row r="122">
      <c r="K122" s="22"/>
    </row>
    <row r="123">
      <c r="K123" s="22"/>
    </row>
    <row r="124">
      <c r="K124" s="22"/>
    </row>
    <row r="125">
      <c r="K125" s="22"/>
    </row>
    <row r="126">
      <c r="K126" s="22"/>
    </row>
    <row r="127">
      <c r="K127" s="22"/>
    </row>
    <row r="128">
      <c r="K128" s="22"/>
    </row>
    <row r="129">
      <c r="K129" s="22"/>
    </row>
    <row r="130">
      <c r="K130" s="22"/>
    </row>
    <row r="131">
      <c r="K131" s="22"/>
    </row>
    <row r="132">
      <c r="K132" s="22"/>
    </row>
    <row r="133">
      <c r="K133" s="22"/>
    </row>
    <row r="134">
      <c r="K134" s="22"/>
    </row>
    <row r="135">
      <c r="K135" s="22"/>
    </row>
    <row r="136">
      <c r="K136" s="22"/>
    </row>
    <row r="137">
      <c r="K137" s="22"/>
    </row>
    <row r="138">
      <c r="K138" s="22"/>
    </row>
    <row r="139">
      <c r="K139" s="22"/>
    </row>
    <row r="140">
      <c r="K140" s="22"/>
    </row>
    <row r="141">
      <c r="K141" s="22"/>
    </row>
    <row r="142">
      <c r="K142" s="22"/>
    </row>
    <row r="143">
      <c r="K143" s="22"/>
    </row>
    <row r="144">
      <c r="K144" s="22"/>
    </row>
    <row r="145">
      <c r="K145" s="22"/>
    </row>
    <row r="146">
      <c r="K146" s="22"/>
    </row>
    <row r="147">
      <c r="K147" s="22"/>
    </row>
    <row r="148">
      <c r="K148" s="22"/>
    </row>
    <row r="149">
      <c r="K149" s="22"/>
    </row>
    <row r="150">
      <c r="K150" s="22"/>
    </row>
    <row r="151">
      <c r="K151" s="22"/>
    </row>
    <row r="152">
      <c r="K152" s="22"/>
    </row>
    <row r="153">
      <c r="K153" s="22"/>
    </row>
    <row r="154">
      <c r="K154" s="22"/>
    </row>
    <row r="155">
      <c r="K155" s="22"/>
    </row>
    <row r="156">
      <c r="K156" s="22"/>
    </row>
    <row r="157">
      <c r="K157" s="22"/>
    </row>
    <row r="158">
      <c r="K158" s="22"/>
    </row>
    <row r="159">
      <c r="K159" s="22"/>
    </row>
    <row r="160">
      <c r="K160" s="22"/>
    </row>
    <row r="161">
      <c r="K161" s="22"/>
    </row>
    <row r="162">
      <c r="K162" s="22"/>
    </row>
    <row r="163">
      <c r="K163" s="22"/>
    </row>
    <row r="164">
      <c r="K164" s="22"/>
    </row>
    <row r="165">
      <c r="K165" s="22"/>
    </row>
    <row r="166">
      <c r="K166" s="22"/>
    </row>
    <row r="167">
      <c r="K167" s="22"/>
    </row>
    <row r="168">
      <c r="K168" s="22"/>
    </row>
    <row r="169">
      <c r="K169" s="22"/>
    </row>
    <row r="170">
      <c r="K170" s="22"/>
    </row>
    <row r="171">
      <c r="K171" s="22"/>
    </row>
    <row r="172">
      <c r="K172" s="22"/>
    </row>
    <row r="173">
      <c r="K173" s="22"/>
    </row>
    <row r="174">
      <c r="K174" s="22"/>
    </row>
    <row r="175">
      <c r="K175" s="22"/>
    </row>
    <row r="176">
      <c r="K176" s="22"/>
    </row>
    <row r="177">
      <c r="K177" s="22"/>
    </row>
    <row r="178">
      <c r="K178" s="22"/>
    </row>
    <row r="179">
      <c r="K179" s="22"/>
    </row>
    <row r="180">
      <c r="K180" s="22"/>
    </row>
    <row r="181">
      <c r="K181" s="22"/>
    </row>
    <row r="182">
      <c r="K182" s="22"/>
    </row>
    <row r="183">
      <c r="K183" s="22"/>
    </row>
    <row r="184">
      <c r="K184" s="22"/>
    </row>
    <row r="185">
      <c r="K185" s="22"/>
    </row>
    <row r="186">
      <c r="K186" s="22"/>
    </row>
    <row r="187">
      <c r="K187" s="22"/>
    </row>
    <row r="188">
      <c r="K188" s="22"/>
    </row>
    <row r="189">
      <c r="K189" s="22"/>
    </row>
    <row r="190">
      <c r="K190" s="22"/>
    </row>
    <row r="191">
      <c r="K191" s="22"/>
    </row>
    <row r="192">
      <c r="K192" s="22"/>
    </row>
    <row r="193">
      <c r="K193" s="22"/>
    </row>
    <row r="194">
      <c r="K194" s="22"/>
    </row>
    <row r="195">
      <c r="K195" s="22"/>
    </row>
    <row r="196">
      <c r="K196" s="22"/>
    </row>
    <row r="197">
      <c r="K197" s="22"/>
    </row>
    <row r="198">
      <c r="K198" s="22"/>
    </row>
    <row r="199">
      <c r="K199" s="22"/>
    </row>
    <row r="200">
      <c r="K200" s="22"/>
    </row>
    <row r="201">
      <c r="K201" s="22"/>
    </row>
    <row r="202">
      <c r="K202" s="22"/>
    </row>
    <row r="203">
      <c r="K203" s="22"/>
    </row>
    <row r="204">
      <c r="K204" s="22"/>
    </row>
    <row r="205">
      <c r="K205" s="22"/>
    </row>
    <row r="206">
      <c r="K206" s="22"/>
    </row>
    <row r="207">
      <c r="K207" s="22"/>
    </row>
    <row r="208">
      <c r="K208" s="22"/>
    </row>
    <row r="209">
      <c r="K209" s="22"/>
    </row>
    <row r="210">
      <c r="K210" s="22"/>
    </row>
    <row r="211">
      <c r="K211" s="22"/>
    </row>
    <row r="212">
      <c r="K212" s="22"/>
    </row>
    <row r="213">
      <c r="K213" s="22"/>
    </row>
    <row r="214">
      <c r="K214" s="22"/>
    </row>
    <row r="215">
      <c r="K215" s="22"/>
    </row>
    <row r="216">
      <c r="K216" s="22"/>
    </row>
    <row r="217">
      <c r="K217" s="22"/>
    </row>
    <row r="218">
      <c r="K218" s="22"/>
    </row>
    <row r="219">
      <c r="K219" s="22"/>
    </row>
    <row r="220">
      <c r="K220" s="22"/>
    </row>
    <row r="221">
      <c r="K221" s="22"/>
    </row>
    <row r="222">
      <c r="K222" s="22"/>
    </row>
    <row r="223">
      <c r="K223" s="22"/>
    </row>
    <row r="224">
      <c r="K224" s="22"/>
    </row>
    <row r="225">
      <c r="K225" s="22"/>
    </row>
    <row r="226">
      <c r="K226" s="22"/>
    </row>
    <row r="227">
      <c r="K227" s="22"/>
    </row>
    <row r="228">
      <c r="K228" s="22"/>
    </row>
    <row r="229">
      <c r="K229" s="22"/>
    </row>
    <row r="230">
      <c r="K230" s="22"/>
    </row>
    <row r="231">
      <c r="K231" s="22"/>
    </row>
    <row r="232">
      <c r="K232" s="22"/>
    </row>
    <row r="233">
      <c r="K233" s="22"/>
    </row>
    <row r="234">
      <c r="K234" s="22"/>
    </row>
    <row r="235">
      <c r="K235" s="22"/>
    </row>
    <row r="236">
      <c r="K236" s="22"/>
    </row>
    <row r="237">
      <c r="K237" s="22"/>
    </row>
    <row r="238">
      <c r="K238" s="22"/>
    </row>
    <row r="239">
      <c r="K239" s="22"/>
    </row>
    <row r="240">
      <c r="K240" s="22"/>
    </row>
    <row r="241">
      <c r="K241" s="22"/>
    </row>
    <row r="242">
      <c r="K242" s="22"/>
    </row>
    <row r="243">
      <c r="K243" s="22"/>
    </row>
    <row r="244">
      <c r="K244" s="22"/>
    </row>
    <row r="245">
      <c r="K245" s="22"/>
    </row>
    <row r="246">
      <c r="K246" s="22"/>
    </row>
    <row r="247">
      <c r="K247" s="22"/>
    </row>
    <row r="248">
      <c r="K248" s="22"/>
    </row>
    <row r="249">
      <c r="K249" s="22"/>
    </row>
    <row r="250">
      <c r="K250" s="22"/>
    </row>
    <row r="251">
      <c r="K251" s="22"/>
    </row>
    <row r="252">
      <c r="K252" s="22"/>
    </row>
    <row r="253">
      <c r="K253" s="22"/>
    </row>
    <row r="254">
      <c r="K254" s="22"/>
    </row>
    <row r="255">
      <c r="K255" s="22"/>
    </row>
    <row r="256">
      <c r="K256" s="22"/>
    </row>
    <row r="257">
      <c r="K257" s="22"/>
    </row>
    <row r="258">
      <c r="K258" s="22"/>
    </row>
    <row r="259">
      <c r="K259" s="22"/>
    </row>
    <row r="260">
      <c r="K260" s="22"/>
    </row>
    <row r="261">
      <c r="K261" s="22"/>
    </row>
    <row r="262">
      <c r="K262" s="22"/>
    </row>
    <row r="263">
      <c r="K263" s="22"/>
    </row>
    <row r="264">
      <c r="K264" s="22"/>
    </row>
    <row r="265">
      <c r="K265" s="22"/>
    </row>
    <row r="266">
      <c r="K266" s="22"/>
    </row>
    <row r="267">
      <c r="K267" s="22"/>
    </row>
    <row r="268">
      <c r="K268" s="22"/>
    </row>
    <row r="269">
      <c r="K269" s="22"/>
    </row>
    <row r="270">
      <c r="K270" s="22"/>
    </row>
    <row r="271">
      <c r="K271" s="22"/>
    </row>
    <row r="272">
      <c r="K272" s="22"/>
    </row>
    <row r="273">
      <c r="K273" s="22"/>
    </row>
    <row r="274">
      <c r="K274" s="22"/>
    </row>
    <row r="275">
      <c r="K275" s="22"/>
    </row>
    <row r="276">
      <c r="K276" s="22"/>
    </row>
    <row r="277">
      <c r="K277" s="22"/>
    </row>
    <row r="278">
      <c r="K278" s="22"/>
    </row>
    <row r="279">
      <c r="K279" s="22"/>
    </row>
    <row r="280">
      <c r="K280" s="22"/>
    </row>
    <row r="281">
      <c r="K281" s="22"/>
    </row>
    <row r="282">
      <c r="K282" s="22"/>
    </row>
    <row r="283">
      <c r="K283" s="22"/>
    </row>
    <row r="284">
      <c r="K284" s="22"/>
    </row>
    <row r="285">
      <c r="K285" s="22"/>
    </row>
    <row r="286">
      <c r="K286" s="22"/>
    </row>
    <row r="287">
      <c r="K287" s="22"/>
    </row>
    <row r="288">
      <c r="K288" s="22"/>
    </row>
    <row r="289">
      <c r="K289" s="22"/>
    </row>
    <row r="290">
      <c r="K290" s="22"/>
    </row>
    <row r="291">
      <c r="K291" s="22"/>
    </row>
    <row r="292">
      <c r="K292" s="22"/>
    </row>
    <row r="293">
      <c r="K293" s="22"/>
    </row>
    <row r="294">
      <c r="K294" s="22"/>
    </row>
    <row r="295">
      <c r="K295" s="22"/>
    </row>
    <row r="296">
      <c r="K296" s="22"/>
    </row>
    <row r="297">
      <c r="K297" s="22"/>
    </row>
    <row r="298">
      <c r="K298" s="22"/>
    </row>
    <row r="299">
      <c r="K299" s="22"/>
    </row>
    <row r="300">
      <c r="K300" s="22"/>
    </row>
    <row r="301">
      <c r="K301" s="22"/>
    </row>
    <row r="302">
      <c r="K302" s="22"/>
    </row>
    <row r="303">
      <c r="K303" s="22"/>
    </row>
    <row r="304">
      <c r="K304" s="22"/>
    </row>
    <row r="305">
      <c r="K305" s="22"/>
    </row>
    <row r="306">
      <c r="K306" s="22"/>
    </row>
    <row r="307">
      <c r="K307" s="22"/>
    </row>
    <row r="308">
      <c r="K308" s="22"/>
    </row>
    <row r="309">
      <c r="K309" s="22"/>
    </row>
    <row r="310">
      <c r="K310" s="22"/>
    </row>
    <row r="311">
      <c r="K311" s="22"/>
    </row>
    <row r="312">
      <c r="K312" s="22"/>
    </row>
    <row r="313">
      <c r="K313" s="22"/>
    </row>
    <row r="314">
      <c r="K314" s="22"/>
    </row>
    <row r="315">
      <c r="K315" s="22"/>
    </row>
    <row r="316">
      <c r="K316" s="22"/>
    </row>
    <row r="317">
      <c r="K317" s="22"/>
    </row>
    <row r="318">
      <c r="K318" s="22"/>
    </row>
    <row r="319">
      <c r="K319" s="22"/>
    </row>
    <row r="320">
      <c r="K320" s="22"/>
    </row>
    <row r="321">
      <c r="K321" s="22"/>
    </row>
    <row r="322">
      <c r="K322" s="22"/>
    </row>
    <row r="323">
      <c r="K323" s="22"/>
    </row>
    <row r="324">
      <c r="K324" s="22"/>
    </row>
    <row r="325">
      <c r="K325" s="22"/>
    </row>
    <row r="326">
      <c r="K326" s="22"/>
    </row>
    <row r="327">
      <c r="K327" s="22"/>
    </row>
    <row r="328">
      <c r="K328" s="22"/>
    </row>
    <row r="329">
      <c r="K329" s="22"/>
    </row>
    <row r="330">
      <c r="K330" s="22"/>
    </row>
    <row r="331">
      <c r="K331" s="22"/>
    </row>
    <row r="332">
      <c r="K332" s="22"/>
    </row>
    <row r="333">
      <c r="K333" s="22"/>
    </row>
    <row r="334">
      <c r="K334" s="22"/>
    </row>
    <row r="335">
      <c r="K335" s="22"/>
    </row>
    <row r="336">
      <c r="K336" s="22"/>
    </row>
    <row r="337">
      <c r="K337" s="22"/>
    </row>
    <row r="338">
      <c r="K338" s="22"/>
    </row>
    <row r="339">
      <c r="K339" s="22"/>
    </row>
    <row r="340">
      <c r="K340" s="22"/>
    </row>
    <row r="341">
      <c r="K341" s="22"/>
    </row>
    <row r="342">
      <c r="K342" s="22"/>
    </row>
    <row r="343">
      <c r="K343" s="22"/>
    </row>
    <row r="344">
      <c r="K344" s="22"/>
    </row>
    <row r="345">
      <c r="K345" s="22"/>
    </row>
    <row r="346">
      <c r="K346" s="22"/>
    </row>
    <row r="347">
      <c r="K347" s="22"/>
    </row>
    <row r="348">
      <c r="K348" s="22"/>
    </row>
    <row r="349">
      <c r="K349" s="22"/>
    </row>
    <row r="350">
      <c r="K350" s="22"/>
    </row>
    <row r="351">
      <c r="K351" s="22"/>
    </row>
    <row r="352">
      <c r="K352" s="22"/>
    </row>
    <row r="353">
      <c r="K353" s="22"/>
    </row>
    <row r="354">
      <c r="K354" s="22"/>
    </row>
    <row r="355">
      <c r="K355" s="22"/>
    </row>
    <row r="356">
      <c r="K356" s="22"/>
    </row>
    <row r="357">
      <c r="K357" s="22"/>
    </row>
    <row r="358">
      <c r="K358" s="22"/>
    </row>
    <row r="359">
      <c r="K359" s="22"/>
    </row>
    <row r="360">
      <c r="K360" s="22"/>
    </row>
    <row r="361">
      <c r="K361" s="22"/>
    </row>
    <row r="362">
      <c r="K362" s="22"/>
    </row>
    <row r="363">
      <c r="K363" s="22"/>
    </row>
    <row r="364">
      <c r="K364" s="22"/>
    </row>
    <row r="365">
      <c r="K365" s="22"/>
    </row>
    <row r="366">
      <c r="K366" s="22"/>
    </row>
    <row r="367">
      <c r="K367" s="22"/>
    </row>
    <row r="368">
      <c r="K368" s="22"/>
    </row>
    <row r="369">
      <c r="K369" s="22"/>
    </row>
    <row r="370">
      <c r="K370" s="22"/>
    </row>
    <row r="371">
      <c r="K371" s="22"/>
    </row>
    <row r="372">
      <c r="K372" s="22"/>
    </row>
    <row r="373">
      <c r="K373" s="22"/>
    </row>
    <row r="374">
      <c r="K374" s="22"/>
    </row>
    <row r="375">
      <c r="K375" s="22"/>
    </row>
    <row r="376">
      <c r="K376" s="22"/>
    </row>
    <row r="377">
      <c r="K377" s="22"/>
    </row>
    <row r="378">
      <c r="K378" s="22"/>
    </row>
    <row r="379">
      <c r="K379" s="22"/>
    </row>
    <row r="380">
      <c r="K380" s="22"/>
    </row>
    <row r="381">
      <c r="K381" s="22"/>
    </row>
    <row r="382">
      <c r="K382" s="22"/>
    </row>
    <row r="383">
      <c r="K383" s="22"/>
    </row>
    <row r="384">
      <c r="K384" s="22"/>
    </row>
    <row r="385">
      <c r="K385" s="22"/>
    </row>
    <row r="386">
      <c r="K386" s="22"/>
    </row>
    <row r="387">
      <c r="K387" s="22"/>
    </row>
    <row r="388">
      <c r="K388" s="22"/>
    </row>
    <row r="389">
      <c r="K389" s="22"/>
    </row>
    <row r="390">
      <c r="K390" s="22"/>
    </row>
    <row r="391">
      <c r="K391" s="22"/>
    </row>
    <row r="392">
      <c r="K392" s="22"/>
    </row>
    <row r="393">
      <c r="K393" s="22"/>
    </row>
    <row r="394">
      <c r="K394" s="22"/>
    </row>
    <row r="395">
      <c r="K395" s="22"/>
    </row>
    <row r="396">
      <c r="K396" s="22"/>
    </row>
    <row r="397">
      <c r="K397" s="22"/>
    </row>
    <row r="398">
      <c r="K398" s="22"/>
    </row>
    <row r="399">
      <c r="K399" s="22"/>
    </row>
    <row r="400">
      <c r="K400" s="22"/>
    </row>
    <row r="401">
      <c r="K401" s="22"/>
    </row>
    <row r="402">
      <c r="K402" s="22"/>
    </row>
    <row r="403">
      <c r="K403" s="22"/>
    </row>
    <row r="404">
      <c r="K404" s="22"/>
    </row>
    <row r="405">
      <c r="K405" s="22"/>
    </row>
    <row r="406">
      <c r="K406" s="22"/>
    </row>
    <row r="407">
      <c r="K407" s="22"/>
    </row>
    <row r="408">
      <c r="K408" s="22"/>
    </row>
    <row r="409">
      <c r="K409" s="22"/>
    </row>
    <row r="410">
      <c r="K410" s="22"/>
    </row>
    <row r="411">
      <c r="K411" s="22"/>
    </row>
    <row r="412">
      <c r="K412" s="22"/>
    </row>
    <row r="413">
      <c r="K413" s="22"/>
    </row>
    <row r="414">
      <c r="K414" s="22"/>
    </row>
    <row r="415">
      <c r="K415" s="22"/>
    </row>
    <row r="416">
      <c r="K416" s="22"/>
    </row>
    <row r="417">
      <c r="K417" s="22"/>
    </row>
    <row r="418">
      <c r="K418" s="22"/>
    </row>
    <row r="419">
      <c r="K419" s="22"/>
    </row>
    <row r="420">
      <c r="K420" s="22"/>
    </row>
    <row r="421">
      <c r="K421" s="22"/>
    </row>
    <row r="422">
      <c r="K422" s="22"/>
    </row>
    <row r="423">
      <c r="K423" s="22"/>
    </row>
    <row r="424">
      <c r="K424" s="22"/>
    </row>
    <row r="425">
      <c r="K425" s="22"/>
    </row>
    <row r="426">
      <c r="K426" s="22"/>
    </row>
    <row r="427">
      <c r="K427" s="22"/>
    </row>
    <row r="428">
      <c r="K428" s="22"/>
    </row>
    <row r="429">
      <c r="K429" s="22"/>
    </row>
    <row r="430">
      <c r="K430" s="22"/>
    </row>
    <row r="431">
      <c r="K431" s="22"/>
    </row>
    <row r="432">
      <c r="K432" s="22"/>
    </row>
    <row r="433">
      <c r="K433" s="22"/>
    </row>
    <row r="434">
      <c r="K434" s="22"/>
    </row>
    <row r="435">
      <c r="K435" s="22"/>
    </row>
    <row r="436">
      <c r="K436" s="22"/>
    </row>
    <row r="437">
      <c r="K437" s="22"/>
    </row>
    <row r="438">
      <c r="K438" s="22"/>
    </row>
    <row r="439">
      <c r="K439" s="22"/>
    </row>
    <row r="440">
      <c r="K440" s="22"/>
    </row>
    <row r="441">
      <c r="K441" s="22"/>
    </row>
    <row r="442">
      <c r="K442" s="22"/>
    </row>
    <row r="443">
      <c r="K443" s="22"/>
    </row>
    <row r="444">
      <c r="K444" s="22"/>
    </row>
    <row r="445">
      <c r="K445" s="22"/>
    </row>
    <row r="446">
      <c r="K446" s="22"/>
    </row>
    <row r="447">
      <c r="K447" s="22"/>
    </row>
    <row r="448">
      <c r="K448" s="22"/>
    </row>
    <row r="449">
      <c r="K449" s="22"/>
    </row>
    <row r="450">
      <c r="K450" s="22"/>
    </row>
    <row r="451">
      <c r="K451" s="22"/>
    </row>
    <row r="452">
      <c r="K452" s="22"/>
    </row>
    <row r="453">
      <c r="K453" s="22"/>
    </row>
    <row r="454">
      <c r="K454" s="22"/>
    </row>
    <row r="455">
      <c r="K455" s="22"/>
    </row>
    <row r="456">
      <c r="K456" s="22"/>
    </row>
    <row r="457">
      <c r="K457" s="22"/>
    </row>
    <row r="458">
      <c r="K458" s="22"/>
    </row>
    <row r="459">
      <c r="K459" s="22"/>
    </row>
    <row r="460">
      <c r="K460" s="22"/>
    </row>
    <row r="461">
      <c r="K461" s="22"/>
    </row>
    <row r="462">
      <c r="K462" s="22"/>
    </row>
    <row r="463">
      <c r="K463" s="22"/>
    </row>
    <row r="464">
      <c r="K464" s="22"/>
    </row>
    <row r="465">
      <c r="K465" s="22"/>
    </row>
    <row r="466">
      <c r="K466" s="22"/>
    </row>
    <row r="467">
      <c r="K467" s="22"/>
    </row>
    <row r="468">
      <c r="K468" s="22"/>
    </row>
    <row r="469">
      <c r="K469" s="22"/>
    </row>
    <row r="470">
      <c r="K470" s="22"/>
    </row>
    <row r="471">
      <c r="K471" s="22"/>
    </row>
    <row r="472">
      <c r="K472" s="22"/>
    </row>
    <row r="473">
      <c r="K473" s="22"/>
    </row>
    <row r="474">
      <c r="K474" s="22"/>
    </row>
    <row r="475">
      <c r="K475" s="22"/>
    </row>
    <row r="476">
      <c r="K476" s="22"/>
    </row>
    <row r="477">
      <c r="K477" s="22"/>
    </row>
    <row r="478">
      <c r="K478" s="22"/>
    </row>
    <row r="479">
      <c r="K479" s="22"/>
    </row>
    <row r="480">
      <c r="K480" s="22"/>
    </row>
    <row r="481">
      <c r="K481" s="22"/>
    </row>
    <row r="482">
      <c r="K482" s="22"/>
    </row>
    <row r="483">
      <c r="K483" s="22"/>
    </row>
    <row r="484">
      <c r="K484" s="22"/>
    </row>
    <row r="485">
      <c r="K485" s="22"/>
    </row>
    <row r="486">
      <c r="K486" s="22"/>
    </row>
    <row r="487">
      <c r="K487" s="22"/>
    </row>
    <row r="488">
      <c r="K488" s="22"/>
    </row>
    <row r="489">
      <c r="K489" s="22"/>
    </row>
    <row r="490">
      <c r="K490" s="22"/>
    </row>
    <row r="491">
      <c r="K491" s="22"/>
    </row>
    <row r="492">
      <c r="K492" s="22"/>
    </row>
    <row r="493">
      <c r="K493" s="22"/>
    </row>
    <row r="494">
      <c r="K494" s="22"/>
    </row>
    <row r="495">
      <c r="K495" s="22"/>
    </row>
    <row r="496">
      <c r="K496" s="22"/>
    </row>
    <row r="497">
      <c r="K497" s="22"/>
    </row>
    <row r="498">
      <c r="K498" s="22"/>
    </row>
    <row r="499">
      <c r="K499" s="22"/>
    </row>
    <row r="500">
      <c r="K500" s="22"/>
    </row>
    <row r="501">
      <c r="K501" s="22"/>
    </row>
    <row r="502">
      <c r="K502" s="22"/>
    </row>
    <row r="503">
      <c r="K503" s="22"/>
    </row>
    <row r="504">
      <c r="K504" s="22"/>
    </row>
    <row r="505">
      <c r="K505" s="22"/>
    </row>
    <row r="506">
      <c r="K506" s="22"/>
    </row>
    <row r="507">
      <c r="K507" s="22"/>
    </row>
    <row r="508">
      <c r="K508" s="22"/>
    </row>
    <row r="509">
      <c r="K509" s="22"/>
    </row>
    <row r="510">
      <c r="K510" s="22"/>
    </row>
    <row r="511">
      <c r="K511" s="22"/>
    </row>
    <row r="512">
      <c r="K512" s="22"/>
    </row>
    <row r="513">
      <c r="K513" s="22"/>
    </row>
    <row r="514">
      <c r="K514" s="22"/>
    </row>
    <row r="515">
      <c r="K515" s="22"/>
    </row>
    <row r="516">
      <c r="K516" s="22"/>
    </row>
    <row r="517">
      <c r="K517" s="22"/>
    </row>
    <row r="518">
      <c r="K518" s="22"/>
    </row>
    <row r="519">
      <c r="K519" s="22"/>
    </row>
    <row r="520">
      <c r="K520" s="22"/>
    </row>
    <row r="521">
      <c r="K521" s="22"/>
    </row>
    <row r="522">
      <c r="K522" s="22"/>
    </row>
    <row r="523">
      <c r="K523" s="22"/>
    </row>
    <row r="524">
      <c r="K524" s="22"/>
    </row>
    <row r="525">
      <c r="K525" s="22"/>
    </row>
    <row r="526">
      <c r="K526" s="22"/>
    </row>
    <row r="527">
      <c r="K527" s="22"/>
    </row>
    <row r="528">
      <c r="K528" s="22"/>
    </row>
    <row r="529">
      <c r="K529" s="22"/>
    </row>
    <row r="530">
      <c r="K530" s="22"/>
    </row>
    <row r="531">
      <c r="K531" s="22"/>
    </row>
    <row r="532">
      <c r="K532" s="22"/>
    </row>
    <row r="533">
      <c r="K533" s="22"/>
    </row>
    <row r="534">
      <c r="K534" s="22"/>
    </row>
    <row r="535">
      <c r="K535" s="22"/>
    </row>
    <row r="536">
      <c r="K536" s="22"/>
    </row>
    <row r="537">
      <c r="K537" s="22"/>
    </row>
    <row r="538">
      <c r="K538" s="22"/>
    </row>
    <row r="539">
      <c r="K539" s="22"/>
    </row>
    <row r="540">
      <c r="K540" s="22"/>
    </row>
    <row r="541">
      <c r="K541" s="22"/>
    </row>
    <row r="542">
      <c r="K542" s="22"/>
    </row>
    <row r="543">
      <c r="K543" s="22"/>
    </row>
    <row r="544">
      <c r="K544" s="22"/>
    </row>
    <row r="545">
      <c r="K545" s="22"/>
    </row>
    <row r="546">
      <c r="K546" s="22"/>
    </row>
    <row r="547">
      <c r="K547" s="22"/>
    </row>
    <row r="548">
      <c r="K548" s="22"/>
    </row>
    <row r="549">
      <c r="K549" s="22"/>
    </row>
    <row r="550">
      <c r="K550" s="22"/>
    </row>
    <row r="551">
      <c r="K551" s="22"/>
    </row>
    <row r="552">
      <c r="K552" s="22"/>
    </row>
    <row r="553">
      <c r="K553" s="22"/>
    </row>
    <row r="554">
      <c r="K554" s="22"/>
    </row>
    <row r="555">
      <c r="K555" s="22"/>
    </row>
    <row r="556">
      <c r="K556" s="22"/>
    </row>
    <row r="557">
      <c r="K557" s="22"/>
    </row>
    <row r="558">
      <c r="K558" s="22"/>
    </row>
    <row r="559">
      <c r="K559" s="22"/>
    </row>
    <row r="560">
      <c r="K560" s="22"/>
    </row>
    <row r="561">
      <c r="K561" s="22"/>
    </row>
    <row r="562">
      <c r="K562" s="22"/>
    </row>
    <row r="563">
      <c r="K563" s="22"/>
    </row>
    <row r="564">
      <c r="K564" s="22"/>
    </row>
    <row r="565">
      <c r="K565" s="22"/>
    </row>
    <row r="566">
      <c r="K566" s="22"/>
    </row>
    <row r="567">
      <c r="K567" s="22"/>
    </row>
    <row r="568">
      <c r="K568" s="22"/>
    </row>
    <row r="569">
      <c r="K569" s="22"/>
    </row>
    <row r="570">
      <c r="K570" s="22"/>
    </row>
    <row r="571">
      <c r="K571" s="22"/>
    </row>
    <row r="572">
      <c r="K572" s="22"/>
    </row>
    <row r="573">
      <c r="K573" s="22"/>
    </row>
    <row r="574">
      <c r="K574" s="22"/>
    </row>
    <row r="575">
      <c r="K575" s="22"/>
    </row>
    <row r="576">
      <c r="K576" s="22"/>
    </row>
    <row r="577">
      <c r="K577" s="22"/>
    </row>
    <row r="578">
      <c r="K578" s="22"/>
    </row>
    <row r="579">
      <c r="K579" s="22"/>
    </row>
    <row r="580">
      <c r="K580" s="22"/>
    </row>
    <row r="581">
      <c r="K581" s="22"/>
    </row>
    <row r="582">
      <c r="K582" s="22"/>
    </row>
    <row r="583">
      <c r="K583" s="22"/>
    </row>
    <row r="584">
      <c r="K584" s="22"/>
    </row>
    <row r="585">
      <c r="K585" s="22"/>
    </row>
    <row r="586">
      <c r="K586" s="22"/>
    </row>
    <row r="587">
      <c r="K587" s="22"/>
    </row>
    <row r="588">
      <c r="K588" s="22"/>
    </row>
    <row r="589">
      <c r="K589" s="22"/>
    </row>
    <row r="590">
      <c r="K590" s="22"/>
    </row>
    <row r="591">
      <c r="K591" s="22"/>
    </row>
    <row r="592">
      <c r="K592" s="22"/>
    </row>
    <row r="593">
      <c r="K593" s="22"/>
    </row>
    <row r="594">
      <c r="K594" s="22"/>
    </row>
    <row r="595">
      <c r="K595" s="22"/>
    </row>
    <row r="596">
      <c r="K596" s="22"/>
    </row>
    <row r="597">
      <c r="K597" s="22"/>
    </row>
    <row r="598">
      <c r="K598" s="22"/>
    </row>
    <row r="599">
      <c r="K599" s="22"/>
    </row>
    <row r="600">
      <c r="K600" s="22"/>
    </row>
    <row r="601">
      <c r="K601" s="22"/>
    </row>
    <row r="602">
      <c r="K602" s="22"/>
    </row>
    <row r="603">
      <c r="K603" s="22"/>
    </row>
    <row r="604">
      <c r="K604" s="22"/>
    </row>
    <row r="605">
      <c r="K605" s="22"/>
    </row>
    <row r="606">
      <c r="K606" s="22"/>
    </row>
    <row r="607">
      <c r="K607" s="22"/>
    </row>
    <row r="608">
      <c r="K608" s="22"/>
    </row>
    <row r="609">
      <c r="K609" s="22"/>
    </row>
    <row r="610">
      <c r="K610" s="22"/>
    </row>
    <row r="611">
      <c r="K611" s="22"/>
    </row>
    <row r="612">
      <c r="K612" s="22"/>
    </row>
    <row r="613">
      <c r="K613" s="22"/>
    </row>
    <row r="614">
      <c r="K614" s="22"/>
    </row>
    <row r="615">
      <c r="K615" s="22"/>
    </row>
    <row r="616">
      <c r="K616" s="22"/>
    </row>
    <row r="617">
      <c r="K617" s="22"/>
    </row>
    <row r="618">
      <c r="K618" s="22"/>
    </row>
    <row r="619">
      <c r="K619" s="22"/>
    </row>
    <row r="620">
      <c r="K620" s="22"/>
    </row>
    <row r="621">
      <c r="K621" s="22"/>
    </row>
    <row r="622">
      <c r="K622" s="22"/>
    </row>
    <row r="623">
      <c r="K623" s="22"/>
    </row>
    <row r="624">
      <c r="K624" s="22"/>
    </row>
    <row r="625">
      <c r="K625" s="22"/>
    </row>
    <row r="626">
      <c r="K626" s="22"/>
    </row>
    <row r="627">
      <c r="K627" s="22"/>
    </row>
    <row r="628">
      <c r="K628" s="22"/>
    </row>
    <row r="629">
      <c r="K629" s="22"/>
    </row>
    <row r="630">
      <c r="K630" s="22"/>
    </row>
    <row r="631">
      <c r="K631" s="22"/>
    </row>
    <row r="632">
      <c r="K632" s="22"/>
    </row>
    <row r="633">
      <c r="K633" s="22"/>
    </row>
    <row r="634">
      <c r="K634" s="22"/>
    </row>
    <row r="635">
      <c r="K635" s="22"/>
    </row>
    <row r="636">
      <c r="K636" s="22"/>
    </row>
    <row r="637">
      <c r="K637" s="22"/>
    </row>
    <row r="638">
      <c r="K638" s="22"/>
    </row>
    <row r="639">
      <c r="K639" s="22"/>
    </row>
    <row r="640">
      <c r="K640" s="22"/>
    </row>
    <row r="641">
      <c r="K641" s="22"/>
    </row>
    <row r="642">
      <c r="K642" s="22"/>
    </row>
    <row r="643">
      <c r="K643" s="22"/>
    </row>
    <row r="644">
      <c r="K644" s="22"/>
    </row>
    <row r="645">
      <c r="K645" s="22"/>
    </row>
    <row r="646">
      <c r="K646" s="22"/>
    </row>
    <row r="647">
      <c r="K647" s="22"/>
    </row>
    <row r="648">
      <c r="K648" s="22"/>
    </row>
    <row r="649">
      <c r="K649" s="22"/>
    </row>
    <row r="650">
      <c r="K650" s="22"/>
    </row>
    <row r="651">
      <c r="K651" s="22"/>
    </row>
    <row r="652">
      <c r="K652" s="22"/>
    </row>
    <row r="653">
      <c r="K653" s="22"/>
    </row>
    <row r="654">
      <c r="K654" s="22"/>
    </row>
    <row r="655">
      <c r="K655" s="22"/>
    </row>
    <row r="656">
      <c r="K656" s="22"/>
    </row>
    <row r="657">
      <c r="K657" s="22"/>
    </row>
    <row r="658">
      <c r="K658" s="22"/>
    </row>
    <row r="659">
      <c r="K659" s="22"/>
    </row>
    <row r="660">
      <c r="K660" s="22"/>
    </row>
    <row r="661">
      <c r="K661" s="22"/>
    </row>
    <row r="662">
      <c r="K662" s="22"/>
    </row>
    <row r="663">
      <c r="K663" s="22"/>
    </row>
    <row r="664">
      <c r="K664" s="22"/>
    </row>
    <row r="665">
      <c r="K665" s="22"/>
    </row>
    <row r="666">
      <c r="K666" s="22"/>
    </row>
    <row r="667">
      <c r="K667" s="22"/>
    </row>
    <row r="668">
      <c r="K668" s="22"/>
    </row>
    <row r="669">
      <c r="K669" s="22"/>
    </row>
    <row r="670">
      <c r="K670" s="22"/>
    </row>
    <row r="671">
      <c r="K671" s="22"/>
    </row>
    <row r="672">
      <c r="K672" s="22"/>
    </row>
    <row r="673">
      <c r="K673" s="22"/>
    </row>
    <row r="674">
      <c r="K674" s="22"/>
    </row>
    <row r="675">
      <c r="K675" s="22"/>
    </row>
    <row r="676">
      <c r="K676" s="22"/>
    </row>
    <row r="677">
      <c r="K677" s="22"/>
    </row>
    <row r="678">
      <c r="K678" s="22"/>
    </row>
    <row r="679">
      <c r="K679" s="22"/>
    </row>
    <row r="680">
      <c r="K680" s="22"/>
    </row>
    <row r="681">
      <c r="K681" s="22"/>
    </row>
    <row r="682">
      <c r="K682" s="22"/>
    </row>
    <row r="683">
      <c r="K683" s="22"/>
    </row>
    <row r="684">
      <c r="K684" s="22"/>
    </row>
    <row r="685">
      <c r="K685" s="22"/>
    </row>
    <row r="686">
      <c r="K686" s="22"/>
    </row>
    <row r="687">
      <c r="K687" s="22"/>
    </row>
    <row r="688">
      <c r="K688" s="22"/>
    </row>
    <row r="689">
      <c r="K689" s="22"/>
    </row>
    <row r="690">
      <c r="K690" s="22"/>
    </row>
    <row r="691">
      <c r="K691" s="22"/>
    </row>
    <row r="692">
      <c r="K692" s="22"/>
    </row>
    <row r="693">
      <c r="K693" s="22"/>
    </row>
    <row r="694">
      <c r="K694" s="22"/>
    </row>
    <row r="695">
      <c r="K695" s="22"/>
    </row>
    <row r="696">
      <c r="K696" s="22"/>
    </row>
    <row r="697">
      <c r="K697" s="22"/>
    </row>
    <row r="698">
      <c r="K698" s="22"/>
    </row>
    <row r="699">
      <c r="K699" s="22"/>
    </row>
    <row r="700">
      <c r="K700" s="22"/>
    </row>
    <row r="701">
      <c r="K701" s="22"/>
    </row>
    <row r="702">
      <c r="K702" s="22"/>
    </row>
    <row r="703">
      <c r="K703" s="22"/>
    </row>
    <row r="704">
      <c r="K704" s="22"/>
    </row>
    <row r="705">
      <c r="K705" s="22"/>
    </row>
    <row r="706">
      <c r="K706" s="22"/>
    </row>
    <row r="707">
      <c r="K707" s="22"/>
    </row>
    <row r="708">
      <c r="K708" s="22"/>
    </row>
    <row r="709">
      <c r="K709" s="22"/>
    </row>
    <row r="710">
      <c r="K710" s="22"/>
    </row>
    <row r="711">
      <c r="K711" s="22"/>
    </row>
    <row r="712">
      <c r="K712" s="22"/>
    </row>
    <row r="713">
      <c r="K713" s="22"/>
    </row>
    <row r="714">
      <c r="K714" s="22"/>
    </row>
    <row r="715">
      <c r="K715" s="22"/>
    </row>
    <row r="716">
      <c r="K716" s="22"/>
    </row>
    <row r="717">
      <c r="K717" s="22"/>
    </row>
    <row r="718">
      <c r="K718" s="22"/>
    </row>
    <row r="719">
      <c r="K719" s="22"/>
    </row>
    <row r="720">
      <c r="K720" s="22"/>
    </row>
    <row r="721">
      <c r="K721" s="22"/>
    </row>
    <row r="722">
      <c r="K722" s="22"/>
    </row>
    <row r="723">
      <c r="K723" s="22"/>
    </row>
    <row r="724">
      <c r="K724" s="22"/>
    </row>
    <row r="725">
      <c r="K725" s="22"/>
    </row>
    <row r="726">
      <c r="K726" s="22"/>
    </row>
    <row r="727">
      <c r="K727" s="22"/>
    </row>
    <row r="728">
      <c r="K728" s="22"/>
    </row>
    <row r="729">
      <c r="K729" s="22"/>
    </row>
    <row r="730">
      <c r="K730" s="22"/>
    </row>
    <row r="731">
      <c r="K731" s="22"/>
    </row>
    <row r="732">
      <c r="K732" s="22"/>
    </row>
    <row r="733">
      <c r="K733" s="22"/>
    </row>
    <row r="734">
      <c r="K734" s="22"/>
    </row>
    <row r="735">
      <c r="K735" s="22"/>
    </row>
    <row r="736">
      <c r="K736" s="22"/>
    </row>
    <row r="737">
      <c r="K737" s="22"/>
    </row>
    <row r="738">
      <c r="K738" s="22"/>
    </row>
    <row r="739">
      <c r="K739" s="22"/>
    </row>
    <row r="740">
      <c r="K740" s="22"/>
    </row>
    <row r="741">
      <c r="K741" s="22"/>
    </row>
    <row r="742">
      <c r="K742" s="22"/>
    </row>
    <row r="743">
      <c r="K743" s="22"/>
    </row>
    <row r="744">
      <c r="K744" s="22"/>
    </row>
    <row r="745">
      <c r="K745" s="22"/>
    </row>
    <row r="746">
      <c r="K746" s="22"/>
    </row>
    <row r="747">
      <c r="K747" s="22"/>
    </row>
    <row r="748">
      <c r="K748" s="22"/>
    </row>
    <row r="749">
      <c r="K749" s="22"/>
    </row>
    <row r="750">
      <c r="K750" s="22"/>
    </row>
    <row r="751">
      <c r="K751" s="22"/>
    </row>
    <row r="752">
      <c r="K752" s="22"/>
    </row>
    <row r="753">
      <c r="K753" s="22"/>
    </row>
    <row r="754">
      <c r="K754" s="22"/>
    </row>
    <row r="755">
      <c r="K755" s="22"/>
    </row>
    <row r="756">
      <c r="K756" s="22"/>
    </row>
    <row r="757">
      <c r="K757" s="22"/>
    </row>
    <row r="758">
      <c r="K758" s="22"/>
    </row>
    <row r="759">
      <c r="K759" s="22"/>
    </row>
    <row r="760">
      <c r="K760" s="22"/>
    </row>
    <row r="761">
      <c r="K761" s="22"/>
    </row>
    <row r="762">
      <c r="K762" s="22"/>
    </row>
    <row r="763">
      <c r="K763" s="22"/>
    </row>
    <row r="764">
      <c r="K764" s="22"/>
    </row>
    <row r="765">
      <c r="K765" s="22"/>
    </row>
    <row r="766">
      <c r="K766" s="22"/>
    </row>
    <row r="767">
      <c r="K767" s="22"/>
    </row>
    <row r="768">
      <c r="K768" s="22"/>
    </row>
    <row r="769">
      <c r="K769" s="22"/>
    </row>
    <row r="770">
      <c r="K770" s="22"/>
    </row>
    <row r="771">
      <c r="K771" s="22"/>
    </row>
    <row r="772">
      <c r="K772" s="22"/>
    </row>
    <row r="773">
      <c r="K773" s="22"/>
    </row>
    <row r="774">
      <c r="K774" s="22"/>
    </row>
    <row r="775">
      <c r="K775" s="22"/>
    </row>
    <row r="776">
      <c r="K776" s="22"/>
    </row>
    <row r="777">
      <c r="K777" s="22"/>
    </row>
    <row r="778">
      <c r="K778" s="22"/>
    </row>
    <row r="779">
      <c r="K779" s="22"/>
    </row>
    <row r="780">
      <c r="K780" s="22"/>
    </row>
    <row r="781">
      <c r="K781" s="22"/>
    </row>
    <row r="782">
      <c r="K782" s="22"/>
    </row>
    <row r="783">
      <c r="K783" s="22"/>
    </row>
    <row r="784">
      <c r="K784" s="22"/>
    </row>
    <row r="785">
      <c r="K785" s="22"/>
    </row>
    <row r="786">
      <c r="K786" s="22"/>
    </row>
    <row r="787">
      <c r="K787" s="22"/>
    </row>
    <row r="788">
      <c r="K788" s="22"/>
    </row>
    <row r="789">
      <c r="K789" s="22"/>
    </row>
    <row r="790">
      <c r="K790" s="22"/>
    </row>
    <row r="791">
      <c r="K791" s="22"/>
    </row>
    <row r="792">
      <c r="K792" s="22"/>
    </row>
    <row r="793">
      <c r="K793" s="22"/>
    </row>
    <row r="794">
      <c r="K794" s="22"/>
    </row>
    <row r="795">
      <c r="K795" s="22"/>
    </row>
    <row r="796">
      <c r="K796" s="22"/>
    </row>
    <row r="797">
      <c r="K797" s="22"/>
    </row>
    <row r="798">
      <c r="K798" s="22"/>
    </row>
    <row r="799">
      <c r="K799" s="22"/>
    </row>
    <row r="800">
      <c r="K800" s="22"/>
    </row>
    <row r="801">
      <c r="K801" s="22"/>
    </row>
    <row r="802">
      <c r="K802" s="22"/>
    </row>
    <row r="803">
      <c r="K803" s="22"/>
    </row>
    <row r="804">
      <c r="K804" s="22"/>
    </row>
    <row r="805">
      <c r="K805" s="22"/>
    </row>
    <row r="806">
      <c r="K806" s="22"/>
    </row>
    <row r="807">
      <c r="K807" s="22"/>
    </row>
    <row r="808">
      <c r="K808" s="22"/>
    </row>
    <row r="809">
      <c r="K809" s="22"/>
    </row>
    <row r="810">
      <c r="K810" s="22"/>
    </row>
    <row r="811">
      <c r="K811" s="22"/>
    </row>
    <row r="812">
      <c r="K812" s="22"/>
    </row>
    <row r="813">
      <c r="K813" s="22"/>
    </row>
    <row r="814">
      <c r="K814" s="22"/>
    </row>
    <row r="815">
      <c r="K815" s="22"/>
    </row>
    <row r="816">
      <c r="K816" s="22"/>
    </row>
    <row r="817">
      <c r="K817" s="22"/>
    </row>
    <row r="818">
      <c r="K818" s="22"/>
    </row>
    <row r="819">
      <c r="K819" s="22"/>
    </row>
    <row r="820">
      <c r="K820" s="22"/>
    </row>
    <row r="821">
      <c r="K821" s="22"/>
    </row>
    <row r="822">
      <c r="K822" s="22"/>
    </row>
    <row r="823">
      <c r="K823" s="22"/>
    </row>
    <row r="824">
      <c r="K824" s="22"/>
    </row>
    <row r="825">
      <c r="K825" s="22"/>
    </row>
    <row r="826">
      <c r="K826" s="22"/>
    </row>
    <row r="827">
      <c r="K827" s="22"/>
    </row>
    <row r="828">
      <c r="K828" s="22"/>
    </row>
    <row r="829">
      <c r="K829" s="22"/>
    </row>
    <row r="830">
      <c r="K830" s="22"/>
    </row>
    <row r="831">
      <c r="K831" s="22"/>
    </row>
    <row r="832">
      <c r="K832" s="22"/>
    </row>
    <row r="833">
      <c r="K833" s="22"/>
    </row>
    <row r="834">
      <c r="K834" s="22"/>
    </row>
    <row r="835">
      <c r="K835" s="22"/>
    </row>
    <row r="836">
      <c r="K836" s="22"/>
    </row>
    <row r="837">
      <c r="K837" s="22"/>
    </row>
    <row r="838">
      <c r="K838" s="22"/>
    </row>
    <row r="839">
      <c r="K839" s="22"/>
    </row>
    <row r="840">
      <c r="K840" s="22"/>
    </row>
    <row r="841">
      <c r="K841" s="22"/>
    </row>
    <row r="842">
      <c r="K842" s="22"/>
    </row>
    <row r="843">
      <c r="K843" s="22"/>
    </row>
    <row r="844">
      <c r="K844" s="22"/>
    </row>
    <row r="845">
      <c r="K845" s="22"/>
    </row>
    <row r="846">
      <c r="K846" s="22"/>
    </row>
    <row r="847">
      <c r="K847" s="22"/>
    </row>
    <row r="848">
      <c r="K848" s="22"/>
    </row>
    <row r="849">
      <c r="K849" s="22"/>
    </row>
    <row r="850">
      <c r="K850" s="22"/>
    </row>
    <row r="851">
      <c r="K851" s="22"/>
    </row>
    <row r="852">
      <c r="K852" s="22"/>
    </row>
    <row r="853">
      <c r="K853" s="22"/>
    </row>
    <row r="854">
      <c r="K854" s="22"/>
    </row>
    <row r="855">
      <c r="K855" s="22"/>
    </row>
    <row r="856">
      <c r="K856" s="22"/>
    </row>
    <row r="857">
      <c r="K857" s="22"/>
    </row>
    <row r="858">
      <c r="K858" s="22"/>
    </row>
    <row r="859">
      <c r="K859" s="22"/>
    </row>
    <row r="860">
      <c r="K860" s="22"/>
    </row>
    <row r="861">
      <c r="K861" s="22"/>
    </row>
    <row r="862">
      <c r="K862" s="22"/>
    </row>
    <row r="863">
      <c r="K863" s="22"/>
    </row>
    <row r="864">
      <c r="K864" s="22"/>
    </row>
    <row r="865">
      <c r="K865" s="22"/>
    </row>
    <row r="866">
      <c r="K866" s="22"/>
    </row>
    <row r="867">
      <c r="K867" s="22"/>
    </row>
    <row r="868">
      <c r="K868" s="22"/>
    </row>
    <row r="869">
      <c r="K869" s="22"/>
    </row>
    <row r="870">
      <c r="K870" s="22"/>
    </row>
    <row r="871">
      <c r="K871" s="22"/>
    </row>
    <row r="872">
      <c r="K872" s="22"/>
    </row>
    <row r="873">
      <c r="K873" s="22"/>
    </row>
    <row r="874">
      <c r="K874" s="22"/>
    </row>
    <row r="875">
      <c r="K875" s="22"/>
    </row>
    <row r="876">
      <c r="K876" s="22"/>
    </row>
    <row r="877">
      <c r="K877" s="22"/>
    </row>
    <row r="878">
      <c r="K878" s="22"/>
    </row>
    <row r="879">
      <c r="K879" s="22"/>
    </row>
    <row r="880">
      <c r="K880" s="22"/>
    </row>
    <row r="881">
      <c r="K881" s="22"/>
    </row>
    <row r="882">
      <c r="K882" s="22"/>
    </row>
    <row r="883">
      <c r="K883" s="22"/>
    </row>
    <row r="884">
      <c r="K884" s="22"/>
    </row>
    <row r="885">
      <c r="K885" s="22"/>
    </row>
    <row r="886">
      <c r="K886" s="22"/>
    </row>
    <row r="887">
      <c r="K887" s="22"/>
    </row>
    <row r="888">
      <c r="K888" s="22"/>
    </row>
    <row r="889">
      <c r="K889" s="22"/>
    </row>
    <row r="890">
      <c r="K890" s="22"/>
    </row>
    <row r="891">
      <c r="K891" s="22"/>
    </row>
    <row r="892">
      <c r="K892" s="22"/>
    </row>
    <row r="893">
      <c r="K893" s="22"/>
    </row>
    <row r="894">
      <c r="K894" s="22"/>
    </row>
    <row r="895">
      <c r="K895" s="22"/>
    </row>
    <row r="896">
      <c r="K896" s="22"/>
    </row>
    <row r="897">
      <c r="K897" s="22"/>
    </row>
    <row r="898">
      <c r="K898" s="22"/>
    </row>
    <row r="899">
      <c r="K899" s="22"/>
    </row>
    <row r="900">
      <c r="K900" s="22"/>
    </row>
    <row r="901">
      <c r="K901" s="22"/>
    </row>
    <row r="902">
      <c r="K902" s="22"/>
    </row>
    <row r="903">
      <c r="K903" s="22"/>
    </row>
    <row r="904">
      <c r="K904" s="22"/>
    </row>
    <row r="905">
      <c r="K905" s="22"/>
    </row>
    <row r="906">
      <c r="K906" s="22"/>
    </row>
    <row r="907">
      <c r="K907" s="22"/>
    </row>
    <row r="908">
      <c r="K908" s="22"/>
    </row>
    <row r="909">
      <c r="K909" s="22"/>
    </row>
    <row r="910">
      <c r="K910" s="22"/>
    </row>
    <row r="911">
      <c r="K911" s="22"/>
    </row>
    <row r="912">
      <c r="K912" s="22"/>
    </row>
    <row r="913">
      <c r="K913" s="22"/>
    </row>
    <row r="914">
      <c r="K914" s="22"/>
    </row>
    <row r="915">
      <c r="K915" s="22"/>
    </row>
    <row r="916">
      <c r="K916" s="22"/>
    </row>
    <row r="917">
      <c r="K917" s="22"/>
    </row>
    <row r="918">
      <c r="K918" s="22"/>
    </row>
    <row r="919">
      <c r="K919" s="22"/>
    </row>
    <row r="920">
      <c r="K920" s="22"/>
    </row>
    <row r="921">
      <c r="K921" s="22"/>
    </row>
    <row r="922">
      <c r="K922" s="22"/>
    </row>
    <row r="923">
      <c r="K923" s="22"/>
    </row>
    <row r="924">
      <c r="K924" s="22"/>
    </row>
    <row r="925">
      <c r="K925" s="22"/>
    </row>
    <row r="926">
      <c r="K926" s="22"/>
    </row>
    <row r="927">
      <c r="K927" s="22"/>
    </row>
    <row r="928">
      <c r="K928" s="22"/>
    </row>
    <row r="929">
      <c r="K929" s="22"/>
    </row>
    <row r="930">
      <c r="K930" s="22"/>
    </row>
    <row r="931">
      <c r="K931" s="22"/>
    </row>
    <row r="932">
      <c r="K932" s="22"/>
    </row>
    <row r="933">
      <c r="K933" s="22"/>
    </row>
    <row r="934">
      <c r="K934" s="22"/>
    </row>
    <row r="935">
      <c r="K935" s="22"/>
    </row>
    <row r="936">
      <c r="K936" s="22"/>
    </row>
    <row r="937">
      <c r="K937" s="22"/>
    </row>
    <row r="938">
      <c r="K938" s="22"/>
    </row>
    <row r="939">
      <c r="K939" s="22"/>
    </row>
    <row r="940">
      <c r="K940" s="22"/>
    </row>
    <row r="941">
      <c r="K941" s="22"/>
    </row>
    <row r="942">
      <c r="K942" s="22"/>
    </row>
    <row r="943">
      <c r="K943" s="22"/>
    </row>
    <row r="944">
      <c r="K944" s="22"/>
    </row>
    <row r="945">
      <c r="K945" s="22"/>
    </row>
    <row r="946">
      <c r="K946" s="22"/>
    </row>
    <row r="947">
      <c r="K947" s="22"/>
    </row>
    <row r="948">
      <c r="K948" s="22"/>
    </row>
    <row r="949">
      <c r="K949" s="22"/>
    </row>
    <row r="950">
      <c r="K950" s="22"/>
    </row>
    <row r="951">
      <c r="K951" s="22"/>
    </row>
    <row r="952">
      <c r="K952" s="22"/>
    </row>
    <row r="953">
      <c r="K953" s="22"/>
    </row>
    <row r="954">
      <c r="K954" s="22"/>
    </row>
    <row r="955">
      <c r="K955" s="22"/>
    </row>
    <row r="956">
      <c r="K956" s="22"/>
    </row>
    <row r="957">
      <c r="K957" s="22"/>
    </row>
    <row r="958">
      <c r="K958" s="22"/>
    </row>
    <row r="959">
      <c r="K959" s="22"/>
    </row>
    <row r="960">
      <c r="K960" s="22"/>
    </row>
    <row r="961">
      <c r="K961" s="22"/>
    </row>
    <row r="962">
      <c r="K962" s="22"/>
    </row>
    <row r="963">
      <c r="K963" s="22"/>
    </row>
    <row r="964">
      <c r="K964" s="22"/>
    </row>
    <row r="965">
      <c r="K965" s="22"/>
    </row>
    <row r="966">
      <c r="K966" s="22"/>
    </row>
    <row r="967">
      <c r="K967" s="22"/>
    </row>
    <row r="968">
      <c r="K968" s="22"/>
    </row>
    <row r="969">
      <c r="K969" s="22"/>
    </row>
    <row r="970">
      <c r="K970" s="22"/>
    </row>
    <row r="971">
      <c r="K971" s="22"/>
    </row>
    <row r="972">
      <c r="K972" s="22"/>
    </row>
    <row r="973">
      <c r="K973" s="22"/>
    </row>
    <row r="974">
      <c r="K974" s="22"/>
    </row>
    <row r="975">
      <c r="K975" s="22"/>
    </row>
    <row r="976">
      <c r="K976" s="22"/>
    </row>
    <row r="977">
      <c r="K977" s="22"/>
    </row>
    <row r="978">
      <c r="K978" s="22"/>
    </row>
    <row r="979">
      <c r="K979" s="22"/>
    </row>
    <row r="980">
      <c r="K980" s="22"/>
    </row>
    <row r="981">
      <c r="K981" s="22"/>
    </row>
    <row r="982">
      <c r="K982" s="22"/>
    </row>
    <row r="983">
      <c r="K983" s="22"/>
    </row>
    <row r="984">
      <c r="K984" s="22"/>
    </row>
    <row r="985">
      <c r="K985" s="22"/>
    </row>
    <row r="986">
      <c r="K986" s="22"/>
    </row>
    <row r="987">
      <c r="K987" s="22"/>
    </row>
    <row r="988">
      <c r="K988" s="22"/>
    </row>
    <row r="989">
      <c r="K989" s="22"/>
    </row>
    <row r="990">
      <c r="K990" s="22"/>
    </row>
    <row r="991">
      <c r="K991" s="22"/>
    </row>
    <row r="992">
      <c r="K992" s="22"/>
    </row>
    <row r="993">
      <c r="K993" s="22"/>
    </row>
    <row r="994">
      <c r="K994" s="22"/>
    </row>
    <row r="995">
      <c r="K995" s="22"/>
    </row>
    <row r="996">
      <c r="K996" s="22"/>
    </row>
    <row r="997">
      <c r="K997" s="22"/>
    </row>
    <row r="998">
      <c r="K998" s="22"/>
    </row>
    <row r="999">
      <c r="K999" s="22"/>
    </row>
    <row r="1000">
      <c r="K1000" s="2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0</v>
      </c>
      <c r="D1" s="1" t="s">
        <v>2</v>
      </c>
      <c r="E1" s="3">
        <f>SUM(E3:E62)</f>
        <v>0</v>
      </c>
      <c r="G1" s="1" t="s">
        <v>4</v>
      </c>
      <c r="H1" s="3">
        <f>SUM(H3:H62)</f>
        <v>0</v>
      </c>
      <c r="J1" s="1" t="s">
        <v>8</v>
      </c>
      <c r="K1" s="3">
        <f>SUM(K3:K62)</f>
        <v>1315.13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8" t="s">
        <v>21</v>
      </c>
      <c r="G2" s="7" t="s">
        <v>20</v>
      </c>
      <c r="H2" s="8" t="s">
        <v>21</v>
      </c>
      <c r="J2" s="7" t="s">
        <v>20</v>
      </c>
      <c r="K2" s="8" t="s">
        <v>21</v>
      </c>
      <c r="M2" s="7" t="s">
        <v>20</v>
      </c>
      <c r="N2" s="8" t="s">
        <v>21</v>
      </c>
    </row>
    <row r="3">
      <c r="A3" s="11"/>
      <c r="B3" s="12"/>
      <c r="D3" s="11"/>
      <c r="E3" s="16"/>
      <c r="G3" s="11"/>
      <c r="H3" s="16"/>
      <c r="J3" s="11" t="s">
        <v>199</v>
      </c>
      <c r="K3" s="12">
        <v>29.99</v>
      </c>
      <c r="M3" s="14"/>
      <c r="N3" s="15"/>
    </row>
    <row r="4">
      <c r="A4" s="11"/>
      <c r="B4" s="12"/>
      <c r="D4" s="14"/>
      <c r="E4" s="15"/>
      <c r="G4" s="14"/>
      <c r="H4" s="15"/>
      <c r="J4" s="11" t="s">
        <v>201</v>
      </c>
      <c r="K4" s="12">
        <v>75.99</v>
      </c>
      <c r="M4" s="14"/>
      <c r="N4" s="15"/>
    </row>
    <row r="5">
      <c r="A5" s="11"/>
      <c r="B5" s="12"/>
      <c r="D5" s="14"/>
      <c r="E5" s="15"/>
      <c r="G5" s="14"/>
      <c r="H5" s="15"/>
      <c r="J5" s="11" t="s">
        <v>203</v>
      </c>
      <c r="K5" s="12">
        <v>119.9</v>
      </c>
      <c r="M5" s="14"/>
      <c r="N5" s="15"/>
    </row>
    <row r="6">
      <c r="A6" s="11"/>
      <c r="B6" s="12"/>
      <c r="D6" s="14"/>
      <c r="E6" s="15"/>
      <c r="G6" s="14"/>
      <c r="H6" s="15"/>
      <c r="J6" s="11" t="s">
        <v>204</v>
      </c>
      <c r="K6" s="12">
        <v>197.5</v>
      </c>
      <c r="M6" s="14"/>
      <c r="N6" s="15"/>
    </row>
    <row r="7">
      <c r="A7" s="11"/>
      <c r="B7" s="12"/>
      <c r="D7" s="14"/>
      <c r="E7" s="15"/>
      <c r="G7" s="14"/>
      <c r="H7" s="15"/>
      <c r="J7" s="11" t="s">
        <v>205</v>
      </c>
      <c r="K7" s="12">
        <v>139.9</v>
      </c>
      <c r="M7" s="14"/>
      <c r="N7" s="15"/>
    </row>
    <row r="8">
      <c r="A8" s="11"/>
      <c r="B8" s="12"/>
      <c r="D8" s="14"/>
      <c r="E8" s="15"/>
      <c r="G8" s="14"/>
      <c r="H8" s="15"/>
      <c r="J8" s="11" t="s">
        <v>206</v>
      </c>
      <c r="K8" s="12">
        <v>578.99</v>
      </c>
      <c r="M8" s="14"/>
      <c r="N8" s="15"/>
    </row>
    <row r="9">
      <c r="A9" s="11"/>
      <c r="B9" s="12"/>
      <c r="D9" s="14"/>
      <c r="E9" s="15"/>
      <c r="G9" s="14"/>
      <c r="H9" s="15"/>
      <c r="J9" s="11" t="s">
        <v>207</v>
      </c>
      <c r="K9" s="12">
        <v>172.86</v>
      </c>
      <c r="M9" s="14"/>
      <c r="N9" s="15"/>
    </row>
    <row r="10">
      <c r="A10" s="11"/>
      <c r="B10" s="12"/>
      <c r="D10" s="14"/>
      <c r="E10" s="15"/>
      <c r="G10" s="14"/>
      <c r="H10" s="15"/>
      <c r="J10" s="11"/>
      <c r="K10" s="12"/>
      <c r="M10" s="14"/>
      <c r="N10" s="15"/>
    </row>
    <row r="11">
      <c r="A11" s="11"/>
      <c r="B11" s="12"/>
      <c r="D11" s="14"/>
      <c r="E11" s="15"/>
      <c r="G11" s="14"/>
      <c r="H11" s="15"/>
      <c r="J11" s="11"/>
      <c r="K11" s="12"/>
      <c r="M11" s="14"/>
      <c r="N11" s="15"/>
    </row>
    <row r="12">
      <c r="A12" s="11"/>
      <c r="B12" s="12"/>
      <c r="D12" s="14"/>
      <c r="E12" s="15"/>
      <c r="G12" s="14"/>
      <c r="H12" s="15"/>
      <c r="J12" s="11"/>
      <c r="K12" s="12"/>
      <c r="M12" s="14"/>
      <c r="N12" s="15"/>
    </row>
    <row r="13">
      <c r="A13" s="11"/>
      <c r="B13" s="12"/>
      <c r="D13" s="14"/>
      <c r="E13" s="15"/>
      <c r="G13" s="14"/>
      <c r="H13" s="15"/>
      <c r="J13" s="11"/>
      <c r="K13" s="12"/>
      <c r="M13" s="14"/>
      <c r="N13" s="15"/>
    </row>
    <row r="14">
      <c r="A14" s="11"/>
      <c r="B14" s="12"/>
      <c r="D14" s="14"/>
      <c r="E14" s="15"/>
      <c r="G14" s="14"/>
      <c r="H14" s="15"/>
      <c r="J14" s="11"/>
      <c r="K14" s="12"/>
      <c r="M14" s="14"/>
      <c r="N14" s="15"/>
    </row>
    <row r="15">
      <c r="A15" s="11"/>
      <c r="B15" s="12"/>
      <c r="D15" s="14"/>
      <c r="E15" s="15"/>
      <c r="G15" s="14"/>
      <c r="H15" s="15"/>
      <c r="J15" s="11"/>
      <c r="K15" s="12"/>
      <c r="M15" s="14"/>
      <c r="N15" s="15"/>
    </row>
    <row r="16">
      <c r="A16" s="11"/>
      <c r="B16" s="12"/>
      <c r="D16" s="14"/>
      <c r="E16" s="15"/>
      <c r="G16" s="14"/>
      <c r="H16" s="15"/>
      <c r="J16" s="11"/>
      <c r="K16" s="12"/>
      <c r="M16" s="14"/>
      <c r="N16" s="15"/>
    </row>
    <row r="17">
      <c r="A17" s="11"/>
      <c r="B17" s="12"/>
      <c r="D17" s="14"/>
      <c r="E17" s="15"/>
      <c r="G17" s="14"/>
      <c r="H17" s="15"/>
      <c r="J17" s="11"/>
      <c r="K17" s="12"/>
      <c r="M17" s="14"/>
      <c r="N17" s="15"/>
    </row>
    <row r="18">
      <c r="A18" s="11"/>
      <c r="B18" s="12"/>
      <c r="D18" s="14"/>
      <c r="E18" s="15"/>
      <c r="G18" s="14"/>
      <c r="H18" s="15"/>
      <c r="J18" s="11"/>
      <c r="K18" s="12"/>
      <c r="M18" s="14"/>
      <c r="N18" s="15"/>
    </row>
    <row r="19">
      <c r="A19" s="11"/>
      <c r="B19" s="12"/>
      <c r="D19" s="14"/>
      <c r="E19" s="15"/>
      <c r="G19" s="14"/>
      <c r="H19" s="15"/>
      <c r="J19" s="11"/>
      <c r="K19" s="12"/>
      <c r="M19" s="14"/>
      <c r="N19" s="15"/>
    </row>
    <row r="20">
      <c r="A20" s="11"/>
      <c r="B20" s="12"/>
      <c r="D20" s="14"/>
      <c r="E20" s="15"/>
      <c r="G20" s="14"/>
      <c r="H20" s="15"/>
      <c r="J20" s="11"/>
      <c r="K20" s="12"/>
      <c r="M20" s="14"/>
      <c r="N20" s="15"/>
    </row>
    <row r="21">
      <c r="A21" s="11"/>
      <c r="B21" s="12"/>
      <c r="D21" s="14"/>
      <c r="E21" s="15"/>
      <c r="G21" s="14"/>
      <c r="H21" s="15"/>
      <c r="J21" s="11"/>
      <c r="K21" s="12"/>
      <c r="M21" s="14"/>
      <c r="N21" s="15"/>
    </row>
    <row r="22">
      <c r="A22" s="11"/>
      <c r="B22" s="12"/>
      <c r="D22" s="14"/>
      <c r="E22" s="15"/>
      <c r="G22" s="14"/>
      <c r="H22" s="15"/>
      <c r="J22" s="11"/>
      <c r="K22" s="12"/>
      <c r="M22" s="14"/>
      <c r="N22" s="15"/>
    </row>
    <row r="23">
      <c r="A23" s="11"/>
      <c r="B23" s="12"/>
      <c r="D23" s="14"/>
      <c r="E23" s="15"/>
      <c r="G23" s="14"/>
      <c r="H23" s="15"/>
      <c r="J23" s="11"/>
      <c r="K23" s="12"/>
      <c r="M23" s="14"/>
      <c r="N23" s="15"/>
    </row>
    <row r="24">
      <c r="A24" s="11"/>
      <c r="B24" s="12"/>
      <c r="D24" s="14"/>
      <c r="E24" s="15"/>
      <c r="G24" s="14"/>
      <c r="H24" s="15"/>
      <c r="J24" s="11"/>
      <c r="K24" s="12"/>
      <c r="M24" s="14"/>
      <c r="N24" s="15"/>
    </row>
    <row r="25">
      <c r="A25" s="11"/>
      <c r="B25" s="12"/>
      <c r="D25" s="14"/>
      <c r="E25" s="15"/>
      <c r="G25" s="14"/>
      <c r="H25" s="15"/>
      <c r="J25" s="11"/>
      <c r="K25" s="12"/>
      <c r="M25" s="14"/>
      <c r="N25" s="15"/>
    </row>
    <row r="26">
      <c r="A26" s="11"/>
      <c r="B26" s="12"/>
      <c r="D26" s="14"/>
      <c r="E26" s="15"/>
      <c r="G26" s="14"/>
      <c r="H26" s="15"/>
      <c r="J26" s="11"/>
      <c r="K26" s="12"/>
      <c r="M26" s="14"/>
      <c r="N26" s="15"/>
    </row>
    <row r="27">
      <c r="A27" s="11"/>
      <c r="B27" s="12"/>
      <c r="D27" s="14"/>
      <c r="E27" s="15"/>
      <c r="G27" s="14"/>
      <c r="H27" s="15"/>
      <c r="J27" s="11"/>
      <c r="K27" s="12"/>
      <c r="M27" s="14"/>
      <c r="N27" s="15"/>
    </row>
    <row r="28">
      <c r="A28" s="11"/>
      <c r="B28" s="12"/>
      <c r="D28" s="14"/>
      <c r="E28" s="15"/>
      <c r="G28" s="14"/>
      <c r="H28" s="15"/>
      <c r="J28" s="11"/>
      <c r="K28" s="12"/>
      <c r="M28" s="14"/>
      <c r="N28" s="15"/>
    </row>
    <row r="29">
      <c r="A29" s="11"/>
      <c r="B29" s="12"/>
      <c r="D29" s="14"/>
      <c r="E29" s="15"/>
      <c r="G29" s="14"/>
      <c r="H29" s="15"/>
      <c r="J29" s="11"/>
      <c r="K29" s="12"/>
      <c r="M29" s="14"/>
      <c r="N29" s="15"/>
    </row>
    <row r="30">
      <c r="A30" s="11"/>
      <c r="B30" s="12"/>
      <c r="D30" s="14"/>
      <c r="E30" s="15"/>
      <c r="G30" s="14"/>
      <c r="H30" s="15"/>
      <c r="J30" s="11"/>
      <c r="K30" s="12"/>
      <c r="M30" s="14"/>
      <c r="N30" s="15"/>
    </row>
    <row r="31">
      <c r="A31" s="14"/>
      <c r="B31" s="23"/>
      <c r="D31" s="14"/>
      <c r="E31" s="15"/>
      <c r="G31" s="14"/>
      <c r="H31" s="15"/>
      <c r="J31" s="11"/>
      <c r="K31" s="12"/>
      <c r="M31" s="14"/>
      <c r="N31" s="15"/>
    </row>
    <row r="32">
      <c r="A32" s="14"/>
      <c r="B32" s="23"/>
      <c r="D32" s="14"/>
      <c r="E32" s="15"/>
      <c r="G32" s="14"/>
      <c r="H32" s="15"/>
      <c r="J32" s="11"/>
      <c r="K32" s="12"/>
      <c r="M32" s="14"/>
      <c r="N32" s="15"/>
    </row>
    <row r="33">
      <c r="A33" s="14"/>
      <c r="B33" s="23"/>
      <c r="D33" s="14"/>
      <c r="E33" s="15"/>
      <c r="G33" s="14"/>
      <c r="H33" s="15"/>
      <c r="J33" s="11"/>
      <c r="K33" s="12"/>
      <c r="M33" s="14"/>
      <c r="N33" s="15"/>
    </row>
    <row r="34">
      <c r="A34" s="14"/>
      <c r="B34" s="23"/>
      <c r="D34" s="14"/>
      <c r="E34" s="15"/>
      <c r="G34" s="14"/>
      <c r="H34" s="15"/>
      <c r="J34" s="11"/>
      <c r="K34" s="12"/>
      <c r="M34" s="14"/>
      <c r="N34" s="15"/>
    </row>
    <row r="35">
      <c r="A35" s="14"/>
      <c r="B35" s="23"/>
      <c r="D35" s="14"/>
      <c r="E35" s="15"/>
      <c r="G35" s="14"/>
      <c r="H35" s="15"/>
      <c r="J35" s="14"/>
      <c r="K35" s="23"/>
      <c r="M35" s="14"/>
      <c r="N35" s="15"/>
    </row>
    <row r="36">
      <c r="A36" s="14"/>
      <c r="B36" s="23"/>
      <c r="D36" s="14"/>
      <c r="E36" s="15"/>
      <c r="G36" s="14"/>
      <c r="H36" s="15"/>
      <c r="J36" s="14"/>
      <c r="K36" s="23"/>
      <c r="M36" s="14"/>
      <c r="N36" s="15"/>
    </row>
    <row r="37">
      <c r="A37" s="14"/>
      <c r="B37" s="23"/>
      <c r="D37" s="14"/>
      <c r="E37" s="15"/>
      <c r="G37" s="14"/>
      <c r="H37" s="15"/>
      <c r="J37" s="14"/>
      <c r="K37" s="23"/>
      <c r="M37" s="14"/>
      <c r="N37" s="15"/>
    </row>
    <row r="38">
      <c r="A38" s="14"/>
      <c r="B38" s="23"/>
      <c r="D38" s="14"/>
      <c r="E38" s="15"/>
      <c r="G38" s="14"/>
      <c r="H38" s="15"/>
      <c r="J38" s="14"/>
      <c r="K38" s="23"/>
      <c r="M38" s="14"/>
      <c r="N38" s="15"/>
    </row>
    <row r="39">
      <c r="A39" s="14"/>
      <c r="B39" s="23"/>
      <c r="D39" s="14"/>
      <c r="E39" s="15"/>
      <c r="G39" s="14"/>
      <c r="H39" s="15"/>
      <c r="J39" s="14"/>
      <c r="K39" s="23"/>
      <c r="M39" s="14"/>
      <c r="N39" s="15"/>
    </row>
    <row r="40">
      <c r="A40" s="14"/>
      <c r="B40" s="23"/>
      <c r="D40" s="14"/>
      <c r="E40" s="15"/>
      <c r="G40" s="14"/>
      <c r="H40" s="15"/>
      <c r="J40" s="14"/>
      <c r="K40" s="23"/>
      <c r="M40" s="14"/>
      <c r="N40" s="15"/>
    </row>
    <row r="41">
      <c r="A41" s="14"/>
      <c r="B41" s="23"/>
      <c r="D41" s="14"/>
      <c r="E41" s="15"/>
      <c r="G41" s="14"/>
      <c r="H41" s="15"/>
      <c r="J41" s="14"/>
      <c r="K41" s="23"/>
      <c r="M41" s="14"/>
      <c r="N41" s="15"/>
    </row>
    <row r="42">
      <c r="A42" s="14"/>
      <c r="B42" s="23"/>
      <c r="D42" s="14"/>
      <c r="E42" s="15"/>
      <c r="G42" s="14"/>
      <c r="H42" s="15"/>
      <c r="J42" s="14"/>
      <c r="K42" s="23"/>
      <c r="M42" s="14"/>
      <c r="N42" s="15"/>
    </row>
    <row r="43">
      <c r="A43" s="14"/>
      <c r="B43" s="23"/>
      <c r="D43" s="14"/>
      <c r="E43" s="15"/>
      <c r="G43" s="14"/>
      <c r="H43" s="15"/>
      <c r="J43" s="14"/>
      <c r="K43" s="23"/>
      <c r="M43" s="14"/>
      <c r="N43" s="15"/>
    </row>
    <row r="44">
      <c r="A44" s="14"/>
      <c r="B44" s="23"/>
      <c r="D44" s="14"/>
      <c r="E44" s="15"/>
      <c r="G44" s="14"/>
      <c r="H44" s="15"/>
      <c r="J44" s="14"/>
      <c r="K44" s="23"/>
      <c r="M44" s="14"/>
      <c r="N44" s="15"/>
    </row>
    <row r="45">
      <c r="A45" s="14"/>
      <c r="B45" s="23"/>
      <c r="D45" s="14"/>
      <c r="E45" s="15"/>
      <c r="G45" s="14"/>
      <c r="H45" s="15"/>
      <c r="J45" s="14"/>
      <c r="K45" s="23"/>
      <c r="M45" s="14"/>
      <c r="N45" s="15"/>
    </row>
    <row r="46">
      <c r="A46" s="14"/>
      <c r="B46" s="23"/>
      <c r="D46" s="14"/>
      <c r="E46" s="15"/>
      <c r="G46" s="14"/>
      <c r="H46" s="15"/>
      <c r="J46" s="14"/>
      <c r="K46" s="23"/>
      <c r="M46" s="14"/>
      <c r="N46" s="15"/>
    </row>
    <row r="47">
      <c r="A47" s="14"/>
      <c r="B47" s="23"/>
      <c r="D47" s="14"/>
      <c r="E47" s="15"/>
      <c r="G47" s="14"/>
      <c r="H47" s="15"/>
      <c r="J47" s="14"/>
      <c r="K47" s="15"/>
      <c r="M47" s="14"/>
      <c r="N47" s="15"/>
    </row>
    <row r="48">
      <c r="A48" s="14"/>
      <c r="B48" s="23"/>
      <c r="D48" s="14"/>
      <c r="E48" s="15"/>
      <c r="G48" s="14"/>
      <c r="H48" s="15"/>
      <c r="J48" s="14"/>
      <c r="K48" s="15"/>
      <c r="M48" s="14"/>
      <c r="N48" s="15"/>
    </row>
    <row r="49">
      <c r="A49" s="14"/>
      <c r="B49" s="23"/>
      <c r="D49" s="14"/>
      <c r="E49" s="15"/>
      <c r="G49" s="14"/>
      <c r="H49" s="15"/>
      <c r="J49" s="14"/>
      <c r="K49" s="15"/>
      <c r="M49" s="14"/>
      <c r="N49" s="15"/>
    </row>
    <row r="50">
      <c r="A50" s="14"/>
      <c r="B50" s="23"/>
      <c r="D50" s="14"/>
      <c r="E50" s="15"/>
      <c r="G50" s="14"/>
      <c r="H50" s="15"/>
      <c r="J50" s="14"/>
      <c r="K50" s="15"/>
      <c r="M50" s="14"/>
      <c r="N50" s="15"/>
    </row>
    <row r="51">
      <c r="A51" s="14"/>
      <c r="B51" s="23"/>
      <c r="D51" s="14"/>
      <c r="E51" s="15"/>
      <c r="G51" s="14"/>
      <c r="H51" s="15"/>
      <c r="J51" s="14"/>
      <c r="K51" s="15"/>
      <c r="M51" s="14"/>
      <c r="N51" s="15"/>
    </row>
    <row r="52">
      <c r="A52" s="14"/>
      <c r="B52" s="23"/>
      <c r="D52" s="14"/>
      <c r="E52" s="15"/>
      <c r="G52" s="14"/>
      <c r="H52" s="15"/>
      <c r="J52" s="14"/>
      <c r="K52" s="15"/>
      <c r="M52" s="14"/>
      <c r="N52" s="15"/>
    </row>
    <row r="53">
      <c r="A53" s="14"/>
      <c r="B53" s="23"/>
      <c r="D53" s="14"/>
      <c r="E53" s="15"/>
      <c r="G53" s="14"/>
      <c r="H53" s="15"/>
      <c r="J53" s="14"/>
      <c r="K53" s="15"/>
      <c r="M53" s="14"/>
      <c r="N53" s="15"/>
    </row>
    <row r="54">
      <c r="A54" s="14"/>
      <c r="B54" s="23"/>
      <c r="D54" s="14"/>
      <c r="E54" s="15"/>
      <c r="G54" s="14"/>
      <c r="H54" s="15"/>
      <c r="J54" s="14"/>
      <c r="K54" s="15"/>
      <c r="M54" s="14"/>
      <c r="N54" s="15"/>
    </row>
    <row r="55">
      <c r="A55" s="14"/>
      <c r="B55" s="23"/>
      <c r="D55" s="14"/>
      <c r="E55" s="15"/>
      <c r="G55" s="14"/>
      <c r="H55" s="15"/>
      <c r="J55" s="14"/>
      <c r="K55" s="15"/>
      <c r="M55" s="14"/>
      <c r="N55" s="15"/>
    </row>
    <row r="56">
      <c r="A56" s="14"/>
      <c r="B56" s="23"/>
      <c r="D56" s="14"/>
      <c r="E56" s="15"/>
      <c r="G56" s="14"/>
      <c r="H56" s="15"/>
      <c r="J56" s="14"/>
      <c r="K56" s="15"/>
      <c r="M56" s="14"/>
      <c r="N56" s="15"/>
    </row>
    <row r="57">
      <c r="A57" s="14"/>
      <c r="B57" s="23"/>
      <c r="D57" s="14"/>
      <c r="E57" s="15"/>
      <c r="G57" s="14"/>
      <c r="H57" s="15"/>
      <c r="J57" s="14"/>
      <c r="K57" s="15"/>
      <c r="M57" s="14"/>
      <c r="N57" s="15"/>
    </row>
    <row r="58">
      <c r="A58" s="14"/>
      <c r="B58" s="23"/>
      <c r="D58" s="14"/>
      <c r="E58" s="15"/>
      <c r="G58" s="14"/>
      <c r="H58" s="15"/>
      <c r="J58" s="14"/>
      <c r="K58" s="15"/>
      <c r="M58" s="14"/>
      <c r="N58" s="15"/>
    </row>
    <row r="59">
      <c r="A59" s="14"/>
      <c r="B59" s="23"/>
      <c r="D59" s="14"/>
      <c r="E59" s="15"/>
      <c r="G59" s="14"/>
      <c r="H59" s="15"/>
      <c r="J59" s="14"/>
      <c r="K59" s="15"/>
      <c r="M59" s="14"/>
      <c r="N59" s="15"/>
    </row>
    <row r="60">
      <c r="A60" s="14"/>
      <c r="B60" s="23"/>
      <c r="D60" s="14"/>
      <c r="E60" s="15"/>
      <c r="G60" s="14"/>
      <c r="H60" s="15"/>
      <c r="J60" s="14"/>
      <c r="K60" s="15"/>
      <c r="M60" s="14"/>
      <c r="N60" s="15"/>
    </row>
    <row r="61">
      <c r="A61" s="14"/>
      <c r="B61" s="23"/>
      <c r="D61" s="14"/>
      <c r="E61" s="15"/>
      <c r="G61" s="14"/>
      <c r="H61" s="15"/>
      <c r="J61" s="14"/>
      <c r="K61" s="15"/>
      <c r="M61" s="14"/>
      <c r="N61" s="15"/>
    </row>
    <row r="62">
      <c r="A62" s="33"/>
      <c r="B62" s="34"/>
      <c r="D62" s="33"/>
      <c r="E62" s="35"/>
      <c r="G62" s="33"/>
      <c r="H62" s="35"/>
      <c r="J62" s="33"/>
      <c r="K62" s="35"/>
      <c r="M62" s="33"/>
      <c r="N62" s="3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0</v>
      </c>
      <c r="D1" s="1" t="s">
        <v>2</v>
      </c>
      <c r="E1" s="3">
        <f>SUM(E3:E62)</f>
        <v>0</v>
      </c>
      <c r="G1" s="1" t="s">
        <v>4</v>
      </c>
      <c r="H1" s="3">
        <f>SUM(H3:H62)</f>
        <v>0</v>
      </c>
      <c r="J1" s="1" t="s">
        <v>8</v>
      </c>
      <c r="K1" s="3">
        <f>SUM(K3:K62)</f>
        <v>0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8" t="s">
        <v>21</v>
      </c>
      <c r="G2" s="7" t="s">
        <v>20</v>
      </c>
      <c r="H2" s="8" t="s">
        <v>21</v>
      </c>
      <c r="J2" s="7" t="s">
        <v>20</v>
      </c>
      <c r="K2" s="8" t="s">
        <v>21</v>
      </c>
      <c r="M2" s="7" t="s">
        <v>20</v>
      </c>
      <c r="N2" s="8" t="s">
        <v>21</v>
      </c>
    </row>
    <row r="3">
      <c r="A3" s="11"/>
      <c r="B3" s="12"/>
      <c r="D3" s="11"/>
      <c r="E3" s="16"/>
      <c r="G3" s="11"/>
      <c r="H3" s="16"/>
      <c r="J3" s="11"/>
      <c r="K3" s="16"/>
      <c r="M3" s="14"/>
      <c r="N3" s="15"/>
    </row>
    <row r="4">
      <c r="A4" s="11"/>
      <c r="B4" s="12"/>
      <c r="D4" s="11"/>
      <c r="E4" s="16"/>
      <c r="G4" s="14"/>
      <c r="H4" s="15"/>
      <c r="J4" s="11"/>
      <c r="K4" s="16"/>
      <c r="M4" s="14"/>
      <c r="N4" s="15"/>
    </row>
    <row r="5">
      <c r="A5" s="11"/>
      <c r="B5" s="12"/>
      <c r="D5" s="11"/>
      <c r="E5" s="16"/>
      <c r="G5" s="14"/>
      <c r="H5" s="15"/>
      <c r="J5" s="11"/>
      <c r="K5" s="16"/>
      <c r="M5" s="14"/>
      <c r="N5" s="15"/>
    </row>
    <row r="6">
      <c r="A6" s="11"/>
      <c r="B6" s="12"/>
      <c r="D6" s="11"/>
      <c r="E6" s="16"/>
      <c r="G6" s="14"/>
      <c r="H6" s="15"/>
      <c r="J6" s="11"/>
      <c r="K6" s="16"/>
      <c r="M6" s="14"/>
      <c r="N6" s="15"/>
    </row>
    <row r="7">
      <c r="A7" s="11"/>
      <c r="B7" s="12"/>
      <c r="D7" s="11"/>
      <c r="E7" s="16"/>
      <c r="G7" s="14"/>
      <c r="H7" s="15"/>
      <c r="J7" s="11"/>
      <c r="K7" s="16"/>
      <c r="M7" s="14"/>
      <c r="N7" s="15"/>
    </row>
    <row r="8">
      <c r="A8" s="11"/>
      <c r="B8" s="12"/>
      <c r="D8" s="11"/>
      <c r="E8" s="16"/>
      <c r="G8" s="14"/>
      <c r="H8" s="15"/>
      <c r="J8" s="11"/>
      <c r="K8" s="16"/>
      <c r="M8" s="14"/>
      <c r="N8" s="15"/>
    </row>
    <row r="9">
      <c r="A9" s="11"/>
      <c r="B9" s="12"/>
      <c r="D9" s="14"/>
      <c r="E9" s="15"/>
      <c r="G9" s="14"/>
      <c r="H9" s="15"/>
      <c r="J9" s="11"/>
      <c r="K9" s="16"/>
      <c r="M9" s="14"/>
      <c r="N9" s="15"/>
    </row>
    <row r="10">
      <c r="A10" s="11"/>
      <c r="B10" s="12"/>
      <c r="D10" s="14"/>
      <c r="E10" s="15"/>
      <c r="G10" s="14"/>
      <c r="H10" s="15"/>
      <c r="J10" s="11"/>
      <c r="K10" s="16"/>
      <c r="M10" s="14"/>
      <c r="N10" s="15"/>
    </row>
    <row r="11">
      <c r="A11" s="11"/>
      <c r="B11" s="12"/>
      <c r="D11" s="14"/>
      <c r="E11" s="15"/>
      <c r="G11" s="14"/>
      <c r="H11" s="15"/>
      <c r="J11" s="11"/>
      <c r="K11" s="16"/>
      <c r="M11" s="14"/>
      <c r="N11" s="15"/>
    </row>
    <row r="12">
      <c r="A12" s="11"/>
      <c r="B12" s="12"/>
      <c r="D12" s="14"/>
      <c r="E12" s="15"/>
      <c r="G12" s="14"/>
      <c r="H12" s="15"/>
      <c r="J12" s="11"/>
      <c r="K12" s="16"/>
      <c r="M12" s="14"/>
      <c r="N12" s="15"/>
    </row>
    <row r="13">
      <c r="A13" s="11"/>
      <c r="B13" s="12"/>
      <c r="D13" s="14"/>
      <c r="E13" s="15"/>
      <c r="G13" s="14"/>
      <c r="H13" s="15"/>
      <c r="J13" s="11"/>
      <c r="K13" s="16"/>
      <c r="M13" s="14"/>
      <c r="N13" s="15"/>
    </row>
    <row r="14">
      <c r="A14" s="11"/>
      <c r="B14" s="12"/>
      <c r="D14" s="14"/>
      <c r="E14" s="15"/>
      <c r="G14" s="14"/>
      <c r="H14" s="15"/>
      <c r="J14" s="11"/>
      <c r="K14" s="16"/>
      <c r="M14" s="14"/>
      <c r="N14" s="15"/>
    </row>
    <row r="15">
      <c r="A15" s="11"/>
      <c r="B15" s="12"/>
      <c r="D15" s="14"/>
      <c r="E15" s="15"/>
      <c r="G15" s="14"/>
      <c r="H15" s="15"/>
      <c r="J15" s="11"/>
      <c r="K15" s="16"/>
      <c r="M15" s="14"/>
      <c r="N15" s="15"/>
    </row>
    <row r="16">
      <c r="A16" s="11"/>
      <c r="B16" s="12"/>
      <c r="D16" s="14"/>
      <c r="E16" s="15"/>
      <c r="G16" s="14"/>
      <c r="H16" s="15"/>
      <c r="J16" s="14"/>
      <c r="K16" s="15"/>
      <c r="M16" s="14"/>
      <c r="N16" s="15"/>
    </row>
    <row r="17">
      <c r="A17" s="11"/>
      <c r="B17" s="23"/>
      <c r="D17" s="14"/>
      <c r="E17" s="15"/>
      <c r="G17" s="14"/>
      <c r="H17" s="15"/>
      <c r="J17" s="14"/>
      <c r="K17" s="15"/>
      <c r="M17" s="14"/>
      <c r="N17" s="15"/>
    </row>
    <row r="18">
      <c r="A18" s="11"/>
      <c r="B18" s="12"/>
      <c r="D18" s="14"/>
      <c r="E18" s="15"/>
      <c r="G18" s="14"/>
      <c r="H18" s="15"/>
      <c r="J18" s="14"/>
      <c r="K18" s="15"/>
      <c r="M18" s="14"/>
      <c r="N18" s="15"/>
    </row>
    <row r="19">
      <c r="A19" s="11"/>
      <c r="B19" s="12"/>
      <c r="D19" s="14"/>
      <c r="E19" s="15"/>
      <c r="G19" s="14"/>
      <c r="H19" s="15"/>
      <c r="J19" s="14"/>
      <c r="K19" s="15"/>
      <c r="M19" s="14"/>
      <c r="N19" s="15"/>
    </row>
    <row r="20">
      <c r="A20" s="11"/>
      <c r="B20" s="12"/>
      <c r="D20" s="14"/>
      <c r="E20" s="15"/>
      <c r="G20" s="14"/>
      <c r="H20" s="15"/>
      <c r="J20" s="14"/>
      <c r="K20" s="15"/>
      <c r="M20" s="14"/>
      <c r="N20" s="15"/>
    </row>
    <row r="21">
      <c r="A21" s="11"/>
      <c r="B21" s="12"/>
      <c r="D21" s="14"/>
      <c r="E21" s="15"/>
      <c r="G21" s="14"/>
      <c r="H21" s="15"/>
      <c r="J21" s="14"/>
      <c r="K21" s="15"/>
      <c r="M21" s="14"/>
      <c r="N21" s="15"/>
    </row>
    <row r="22">
      <c r="A22" s="11"/>
      <c r="B22" s="12"/>
      <c r="D22" s="14"/>
      <c r="E22" s="15"/>
      <c r="G22" s="14"/>
      <c r="H22" s="15"/>
      <c r="J22" s="14"/>
      <c r="K22" s="15"/>
      <c r="M22" s="14"/>
      <c r="N22" s="15"/>
    </row>
    <row r="23">
      <c r="A23" s="11"/>
      <c r="B23" s="12"/>
      <c r="D23" s="14"/>
      <c r="E23" s="15"/>
      <c r="G23" s="14"/>
      <c r="H23" s="15"/>
      <c r="J23" s="14"/>
      <c r="K23" s="15"/>
      <c r="M23" s="14"/>
      <c r="N23" s="15"/>
    </row>
    <row r="24">
      <c r="A24" s="11"/>
      <c r="B24" s="12"/>
      <c r="D24" s="14"/>
      <c r="E24" s="15"/>
      <c r="G24" s="14"/>
      <c r="H24" s="15"/>
      <c r="J24" s="14"/>
      <c r="K24" s="15"/>
      <c r="M24" s="14"/>
      <c r="N24" s="15"/>
    </row>
    <row r="25">
      <c r="A25" s="11"/>
      <c r="B25" s="12"/>
      <c r="D25" s="14"/>
      <c r="E25" s="15"/>
      <c r="G25" s="14"/>
      <c r="H25" s="15"/>
      <c r="J25" s="14"/>
      <c r="K25" s="15"/>
      <c r="M25" s="14"/>
      <c r="N25" s="15"/>
    </row>
    <row r="26">
      <c r="A26" s="11"/>
      <c r="B26" s="12"/>
      <c r="D26" s="14"/>
      <c r="E26" s="15"/>
      <c r="G26" s="14"/>
      <c r="H26" s="15"/>
      <c r="J26" s="14"/>
      <c r="K26" s="15"/>
      <c r="M26" s="14"/>
      <c r="N26" s="15"/>
    </row>
    <row r="27">
      <c r="A27" s="11"/>
      <c r="B27" s="23"/>
      <c r="D27" s="14"/>
      <c r="E27" s="15"/>
      <c r="G27" s="14"/>
      <c r="H27" s="15"/>
      <c r="J27" s="14"/>
      <c r="K27" s="15"/>
      <c r="M27" s="14"/>
      <c r="N27" s="15"/>
    </row>
    <row r="28">
      <c r="A28" s="11"/>
      <c r="B28" s="12"/>
      <c r="D28" s="14"/>
      <c r="E28" s="15"/>
      <c r="G28" s="14"/>
      <c r="H28" s="15"/>
      <c r="J28" s="14"/>
      <c r="K28" s="15"/>
      <c r="M28" s="14"/>
      <c r="N28" s="15"/>
    </row>
    <row r="29">
      <c r="A29" s="11"/>
      <c r="B29" s="12"/>
      <c r="D29" s="14"/>
      <c r="E29" s="15"/>
      <c r="G29" s="14"/>
      <c r="H29" s="15"/>
      <c r="J29" s="14"/>
      <c r="K29" s="15"/>
      <c r="M29" s="14"/>
      <c r="N29" s="15"/>
    </row>
    <row r="30">
      <c r="A30" s="11"/>
      <c r="B30" s="12"/>
      <c r="D30" s="14"/>
      <c r="E30" s="15"/>
      <c r="G30" s="14"/>
      <c r="H30" s="15"/>
      <c r="J30" s="14"/>
      <c r="K30" s="15"/>
      <c r="M30" s="14"/>
      <c r="N30" s="15"/>
    </row>
    <row r="31">
      <c r="A31" s="11"/>
      <c r="B31" s="12"/>
      <c r="D31" s="14"/>
      <c r="E31" s="15"/>
      <c r="G31" s="14"/>
      <c r="H31" s="15"/>
      <c r="J31" s="14"/>
      <c r="K31" s="15"/>
      <c r="M31" s="14"/>
      <c r="N31" s="15"/>
    </row>
    <row r="32">
      <c r="A32" s="14"/>
      <c r="B32" s="23"/>
      <c r="D32" s="14"/>
      <c r="E32" s="15"/>
      <c r="G32" s="14"/>
      <c r="H32" s="15"/>
      <c r="J32" s="14"/>
      <c r="K32" s="15"/>
      <c r="M32" s="14"/>
      <c r="N32" s="15"/>
    </row>
    <row r="33">
      <c r="A33" s="14"/>
      <c r="B33" s="23"/>
      <c r="D33" s="14"/>
      <c r="E33" s="15"/>
      <c r="G33" s="14"/>
      <c r="H33" s="15"/>
      <c r="J33" s="14"/>
      <c r="K33" s="15"/>
      <c r="M33" s="14"/>
      <c r="N33" s="15"/>
    </row>
    <row r="34">
      <c r="A34" s="14"/>
      <c r="B34" s="23"/>
      <c r="D34" s="14"/>
      <c r="E34" s="15"/>
      <c r="G34" s="14"/>
      <c r="H34" s="15"/>
      <c r="J34" s="14"/>
      <c r="K34" s="15"/>
      <c r="M34" s="14"/>
      <c r="N34" s="15"/>
    </row>
    <row r="35">
      <c r="A35" s="14"/>
      <c r="B35" s="23"/>
      <c r="D35" s="14"/>
      <c r="E35" s="15"/>
      <c r="G35" s="14"/>
      <c r="H35" s="15"/>
      <c r="J35" s="14"/>
      <c r="K35" s="15"/>
      <c r="M35" s="14"/>
      <c r="N35" s="15"/>
    </row>
    <row r="36">
      <c r="A36" s="14"/>
      <c r="B36" s="23"/>
      <c r="D36" s="14"/>
      <c r="E36" s="15"/>
      <c r="G36" s="14"/>
      <c r="H36" s="15"/>
      <c r="J36" s="14"/>
      <c r="K36" s="15"/>
      <c r="M36" s="14"/>
      <c r="N36" s="15"/>
    </row>
    <row r="37">
      <c r="A37" s="14"/>
      <c r="B37" s="23"/>
      <c r="D37" s="14"/>
      <c r="E37" s="15"/>
      <c r="G37" s="14"/>
      <c r="H37" s="15"/>
      <c r="J37" s="14"/>
      <c r="K37" s="15"/>
      <c r="M37" s="14"/>
      <c r="N37" s="15"/>
    </row>
    <row r="38">
      <c r="A38" s="14"/>
      <c r="B38" s="23"/>
      <c r="D38" s="14"/>
      <c r="E38" s="15"/>
      <c r="G38" s="14"/>
      <c r="H38" s="15"/>
      <c r="J38" s="14"/>
      <c r="K38" s="15"/>
      <c r="M38" s="14"/>
      <c r="N38" s="15"/>
    </row>
    <row r="39">
      <c r="A39" s="14"/>
      <c r="B39" s="23"/>
      <c r="D39" s="14"/>
      <c r="E39" s="15"/>
      <c r="G39" s="14"/>
      <c r="H39" s="15"/>
      <c r="J39" s="14"/>
      <c r="K39" s="15"/>
      <c r="M39" s="14"/>
      <c r="N39" s="15"/>
    </row>
    <row r="40">
      <c r="A40" s="14"/>
      <c r="B40" s="23"/>
      <c r="D40" s="14"/>
      <c r="E40" s="15"/>
      <c r="G40" s="14"/>
      <c r="H40" s="15"/>
      <c r="J40" s="14"/>
      <c r="K40" s="15"/>
      <c r="M40" s="14"/>
      <c r="N40" s="15"/>
    </row>
    <row r="41">
      <c r="A41" s="14"/>
      <c r="B41" s="23"/>
      <c r="D41" s="14"/>
      <c r="E41" s="15"/>
      <c r="G41" s="14"/>
      <c r="H41" s="15"/>
      <c r="J41" s="14"/>
      <c r="K41" s="15"/>
      <c r="M41" s="14"/>
      <c r="N41" s="15"/>
    </row>
    <row r="42">
      <c r="A42" s="14"/>
      <c r="B42" s="23"/>
      <c r="D42" s="14"/>
      <c r="E42" s="15"/>
      <c r="G42" s="14"/>
      <c r="H42" s="15"/>
      <c r="J42" s="14"/>
      <c r="K42" s="15"/>
      <c r="M42" s="14"/>
      <c r="N42" s="15"/>
    </row>
    <row r="43">
      <c r="A43" s="14"/>
      <c r="B43" s="23"/>
      <c r="D43" s="14"/>
      <c r="E43" s="15"/>
      <c r="G43" s="14"/>
      <c r="H43" s="15"/>
      <c r="J43" s="14"/>
      <c r="K43" s="15"/>
      <c r="M43" s="14"/>
      <c r="N43" s="15"/>
    </row>
    <row r="44">
      <c r="A44" s="14"/>
      <c r="B44" s="23"/>
      <c r="D44" s="14"/>
      <c r="E44" s="15"/>
      <c r="G44" s="14"/>
      <c r="H44" s="15"/>
      <c r="J44" s="14"/>
      <c r="K44" s="15"/>
      <c r="M44" s="14"/>
      <c r="N44" s="15"/>
    </row>
    <row r="45">
      <c r="A45" s="14"/>
      <c r="B45" s="23"/>
      <c r="D45" s="14"/>
      <c r="E45" s="15"/>
      <c r="G45" s="14"/>
      <c r="H45" s="15"/>
      <c r="J45" s="14"/>
      <c r="K45" s="15"/>
      <c r="M45" s="14"/>
      <c r="N45" s="15"/>
    </row>
    <row r="46">
      <c r="A46" s="14"/>
      <c r="B46" s="23"/>
      <c r="D46" s="14"/>
      <c r="E46" s="15"/>
      <c r="G46" s="14"/>
      <c r="H46" s="15"/>
      <c r="J46" s="14"/>
      <c r="K46" s="15"/>
      <c r="M46" s="14"/>
      <c r="N46" s="15"/>
    </row>
    <row r="47">
      <c r="A47" s="14"/>
      <c r="B47" s="23"/>
      <c r="D47" s="14"/>
      <c r="E47" s="15"/>
      <c r="G47" s="14"/>
      <c r="H47" s="15"/>
      <c r="J47" s="14"/>
      <c r="K47" s="15"/>
      <c r="M47" s="14"/>
      <c r="N47" s="15"/>
    </row>
    <row r="48">
      <c r="A48" s="14"/>
      <c r="B48" s="23"/>
      <c r="D48" s="14"/>
      <c r="E48" s="15"/>
      <c r="G48" s="14"/>
      <c r="H48" s="15"/>
      <c r="J48" s="14"/>
      <c r="K48" s="15"/>
      <c r="M48" s="14"/>
      <c r="N48" s="15"/>
    </row>
    <row r="49">
      <c r="A49" s="14"/>
      <c r="B49" s="23"/>
      <c r="D49" s="14"/>
      <c r="E49" s="15"/>
      <c r="G49" s="14"/>
      <c r="H49" s="15"/>
      <c r="J49" s="14"/>
      <c r="K49" s="15"/>
      <c r="M49" s="14"/>
      <c r="N49" s="15"/>
    </row>
    <row r="50">
      <c r="A50" s="14"/>
      <c r="B50" s="23"/>
      <c r="D50" s="14"/>
      <c r="E50" s="15"/>
      <c r="G50" s="14"/>
      <c r="H50" s="15"/>
      <c r="J50" s="14"/>
      <c r="K50" s="15"/>
      <c r="M50" s="14"/>
      <c r="N50" s="15"/>
    </row>
    <row r="51">
      <c r="A51" s="14"/>
      <c r="B51" s="23"/>
      <c r="D51" s="14"/>
      <c r="E51" s="15"/>
      <c r="G51" s="14"/>
      <c r="H51" s="15"/>
      <c r="J51" s="14"/>
      <c r="K51" s="15"/>
      <c r="M51" s="14"/>
      <c r="N51" s="15"/>
    </row>
    <row r="52">
      <c r="A52" s="14"/>
      <c r="B52" s="23"/>
      <c r="D52" s="14"/>
      <c r="E52" s="15"/>
      <c r="G52" s="14"/>
      <c r="H52" s="15"/>
      <c r="J52" s="14"/>
      <c r="K52" s="15"/>
      <c r="M52" s="14"/>
      <c r="N52" s="15"/>
    </row>
    <row r="53">
      <c r="A53" s="14"/>
      <c r="B53" s="23"/>
      <c r="D53" s="14"/>
      <c r="E53" s="15"/>
      <c r="G53" s="14"/>
      <c r="H53" s="15"/>
      <c r="J53" s="14"/>
      <c r="K53" s="15"/>
      <c r="M53" s="14"/>
      <c r="N53" s="15"/>
    </row>
    <row r="54">
      <c r="A54" s="14"/>
      <c r="B54" s="23"/>
      <c r="D54" s="14"/>
      <c r="E54" s="15"/>
      <c r="G54" s="14"/>
      <c r="H54" s="15"/>
      <c r="J54" s="14"/>
      <c r="K54" s="15"/>
      <c r="M54" s="14"/>
      <c r="N54" s="15"/>
    </row>
    <row r="55">
      <c r="A55" s="14"/>
      <c r="B55" s="23"/>
      <c r="D55" s="14"/>
      <c r="E55" s="15"/>
      <c r="G55" s="14"/>
      <c r="H55" s="15"/>
      <c r="J55" s="14"/>
      <c r="K55" s="15"/>
      <c r="M55" s="14"/>
      <c r="N55" s="15"/>
    </row>
    <row r="56">
      <c r="A56" s="14"/>
      <c r="B56" s="23"/>
      <c r="D56" s="14"/>
      <c r="E56" s="15"/>
      <c r="G56" s="14"/>
      <c r="H56" s="15"/>
      <c r="J56" s="14"/>
      <c r="K56" s="15"/>
      <c r="M56" s="14"/>
      <c r="N56" s="15"/>
    </row>
    <row r="57">
      <c r="A57" s="14"/>
      <c r="B57" s="23"/>
      <c r="D57" s="14"/>
      <c r="E57" s="15"/>
      <c r="G57" s="14"/>
      <c r="H57" s="15"/>
      <c r="J57" s="14"/>
      <c r="K57" s="15"/>
      <c r="M57" s="14"/>
      <c r="N57" s="15"/>
    </row>
    <row r="58">
      <c r="A58" s="14"/>
      <c r="B58" s="23"/>
      <c r="D58" s="14"/>
      <c r="E58" s="15"/>
      <c r="G58" s="14"/>
      <c r="H58" s="15"/>
      <c r="J58" s="14"/>
      <c r="K58" s="15"/>
      <c r="M58" s="14"/>
      <c r="N58" s="15"/>
    </row>
    <row r="59">
      <c r="A59" s="14"/>
      <c r="B59" s="23"/>
      <c r="D59" s="14"/>
      <c r="E59" s="15"/>
      <c r="G59" s="14"/>
      <c r="H59" s="15"/>
      <c r="J59" s="14"/>
      <c r="K59" s="15"/>
      <c r="M59" s="14"/>
      <c r="N59" s="15"/>
    </row>
    <row r="60">
      <c r="A60" s="14"/>
      <c r="B60" s="23"/>
      <c r="D60" s="14"/>
      <c r="E60" s="15"/>
      <c r="G60" s="14"/>
      <c r="H60" s="15"/>
      <c r="J60" s="14"/>
      <c r="K60" s="15"/>
      <c r="M60" s="14"/>
      <c r="N60" s="15"/>
    </row>
    <row r="61">
      <c r="A61" s="14"/>
      <c r="B61" s="23"/>
      <c r="D61" s="14"/>
      <c r="E61" s="15"/>
      <c r="G61" s="14"/>
      <c r="H61" s="15"/>
      <c r="J61" s="14"/>
      <c r="K61" s="15"/>
      <c r="M61" s="14"/>
      <c r="N61" s="15"/>
    </row>
    <row r="62">
      <c r="A62" s="33"/>
      <c r="B62" s="34"/>
      <c r="D62" s="33"/>
      <c r="E62" s="35"/>
      <c r="G62" s="33"/>
      <c r="H62" s="35"/>
      <c r="J62" s="33"/>
      <c r="K62" s="35"/>
      <c r="M62" s="33"/>
      <c r="N62" s="3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0</v>
      </c>
      <c r="D1" s="1" t="s">
        <v>2</v>
      </c>
      <c r="E1" s="3">
        <f>SUM(E3:E62)</f>
        <v>0</v>
      </c>
      <c r="G1" s="1" t="s">
        <v>4</v>
      </c>
      <c r="H1" s="3">
        <f>SUM(H3:H62)</f>
        <v>0</v>
      </c>
      <c r="J1" s="1" t="s">
        <v>8</v>
      </c>
      <c r="K1" s="3">
        <f>SUM(K3:K62)</f>
        <v>0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8" t="s">
        <v>21</v>
      </c>
      <c r="G2" s="7" t="s">
        <v>20</v>
      </c>
      <c r="H2" s="8" t="s">
        <v>21</v>
      </c>
      <c r="J2" s="7" t="s">
        <v>20</v>
      </c>
      <c r="K2" s="8" t="s">
        <v>21</v>
      </c>
      <c r="M2" s="7" t="s">
        <v>20</v>
      </c>
      <c r="N2" s="8" t="s">
        <v>21</v>
      </c>
    </row>
    <row r="3">
      <c r="A3" s="11"/>
      <c r="B3" s="12"/>
      <c r="D3" s="11"/>
      <c r="E3" s="16"/>
      <c r="G3" s="14"/>
      <c r="H3" s="15"/>
      <c r="J3" s="11"/>
      <c r="K3" s="16"/>
      <c r="M3" s="14"/>
      <c r="N3" s="15"/>
    </row>
    <row r="4">
      <c r="A4" s="11"/>
      <c r="B4" s="12"/>
      <c r="D4" s="11"/>
      <c r="E4" s="16"/>
      <c r="G4" s="14"/>
      <c r="H4" s="15"/>
      <c r="J4" s="11"/>
      <c r="K4" s="16"/>
      <c r="M4" s="14"/>
      <c r="N4" s="15"/>
    </row>
    <row r="5">
      <c r="A5" s="11"/>
      <c r="B5" s="23"/>
      <c r="D5" s="11"/>
      <c r="E5" s="16"/>
      <c r="G5" s="14"/>
      <c r="H5" s="15"/>
      <c r="J5" s="11"/>
      <c r="K5" s="16"/>
      <c r="M5" s="14"/>
      <c r="N5" s="15"/>
    </row>
    <row r="6">
      <c r="A6" s="11"/>
      <c r="B6" s="12"/>
      <c r="D6" s="11"/>
      <c r="E6" s="16"/>
      <c r="G6" s="14"/>
      <c r="H6" s="15"/>
      <c r="J6" s="11"/>
      <c r="K6" s="16"/>
      <c r="M6" s="14"/>
      <c r="N6" s="15"/>
    </row>
    <row r="7">
      <c r="A7" s="11"/>
      <c r="B7" s="12"/>
      <c r="D7" s="11"/>
      <c r="E7" s="16"/>
      <c r="G7" s="14"/>
      <c r="H7" s="15"/>
      <c r="J7" s="11"/>
      <c r="K7" s="16"/>
      <c r="M7" s="14"/>
      <c r="N7" s="15"/>
    </row>
    <row r="8">
      <c r="A8" s="11"/>
      <c r="B8" s="12"/>
      <c r="D8" s="11"/>
      <c r="E8" s="16"/>
      <c r="G8" s="14"/>
      <c r="H8" s="15"/>
      <c r="J8" s="11"/>
      <c r="K8" s="16"/>
      <c r="M8" s="14"/>
      <c r="N8" s="15"/>
    </row>
    <row r="9">
      <c r="A9" s="11"/>
      <c r="B9" s="12"/>
      <c r="D9" s="11"/>
      <c r="E9" s="16"/>
      <c r="G9" s="14"/>
      <c r="H9" s="15"/>
      <c r="J9" s="11"/>
      <c r="K9" s="16"/>
      <c r="M9" s="14"/>
      <c r="N9" s="15"/>
    </row>
    <row r="10">
      <c r="A10" s="11"/>
      <c r="B10" s="12"/>
      <c r="D10" s="14"/>
      <c r="E10" s="15"/>
      <c r="G10" s="14"/>
      <c r="H10" s="15"/>
      <c r="J10" s="11"/>
      <c r="K10" s="16"/>
      <c r="M10" s="14"/>
      <c r="N10" s="15"/>
    </row>
    <row r="11">
      <c r="A11" s="11"/>
      <c r="B11" s="12"/>
      <c r="D11" s="14"/>
      <c r="E11" s="15"/>
      <c r="G11" s="14"/>
      <c r="H11" s="15"/>
      <c r="J11" s="11"/>
      <c r="K11" s="16"/>
      <c r="M11" s="14"/>
      <c r="N11" s="15"/>
    </row>
    <row r="12">
      <c r="A12" s="11"/>
      <c r="B12" s="23"/>
      <c r="D12" s="14"/>
      <c r="E12" s="15"/>
      <c r="G12" s="14"/>
      <c r="H12" s="15"/>
      <c r="J12" s="11"/>
      <c r="K12" s="16"/>
      <c r="M12" s="14"/>
      <c r="N12" s="15"/>
    </row>
    <row r="13">
      <c r="A13" s="11"/>
      <c r="B13" s="12"/>
      <c r="D13" s="14"/>
      <c r="E13" s="15"/>
      <c r="G13" s="14"/>
      <c r="H13" s="15"/>
      <c r="J13" s="11"/>
      <c r="K13" s="16"/>
      <c r="M13" s="14"/>
      <c r="N13" s="15"/>
    </row>
    <row r="14">
      <c r="A14" s="11"/>
      <c r="B14" s="12"/>
      <c r="D14" s="14"/>
      <c r="E14" s="15"/>
      <c r="G14" s="14"/>
      <c r="H14" s="15"/>
      <c r="J14" s="11"/>
      <c r="K14" s="16"/>
      <c r="M14" s="14"/>
      <c r="N14" s="15"/>
    </row>
    <row r="15">
      <c r="A15" s="11"/>
      <c r="B15" s="12"/>
      <c r="D15" s="14"/>
      <c r="E15" s="15"/>
      <c r="G15" s="14"/>
      <c r="H15" s="15"/>
      <c r="J15" s="11"/>
      <c r="K15" s="16"/>
      <c r="M15" s="14"/>
      <c r="N15" s="15"/>
    </row>
    <row r="16">
      <c r="A16" s="11"/>
      <c r="B16" s="12"/>
      <c r="D16" s="14"/>
      <c r="E16" s="15"/>
      <c r="G16" s="14"/>
      <c r="H16" s="15"/>
      <c r="J16" s="11"/>
      <c r="K16" s="16"/>
      <c r="M16" s="14"/>
      <c r="N16" s="15"/>
    </row>
    <row r="17">
      <c r="A17" s="11"/>
      <c r="B17" s="12"/>
      <c r="D17" s="14"/>
      <c r="E17" s="15"/>
      <c r="G17" s="14"/>
      <c r="H17" s="15"/>
      <c r="J17" s="11"/>
      <c r="K17" s="16"/>
      <c r="M17" s="14"/>
      <c r="N17" s="15"/>
    </row>
    <row r="18">
      <c r="A18" s="11"/>
      <c r="B18" s="12"/>
      <c r="D18" s="14"/>
      <c r="E18" s="15"/>
      <c r="G18" s="14"/>
      <c r="H18" s="15"/>
      <c r="J18" s="11"/>
      <c r="K18" s="16"/>
      <c r="M18" s="14"/>
      <c r="N18" s="15"/>
    </row>
    <row r="19">
      <c r="A19" s="11"/>
      <c r="B19" s="12"/>
      <c r="D19" s="14"/>
      <c r="E19" s="15"/>
      <c r="G19" s="14"/>
      <c r="H19" s="15"/>
      <c r="J19" s="14"/>
      <c r="K19" s="15"/>
      <c r="M19" s="14"/>
      <c r="N19" s="15"/>
    </row>
    <row r="20">
      <c r="A20" s="11"/>
      <c r="B20" s="12"/>
      <c r="D20" s="14"/>
      <c r="E20" s="15"/>
      <c r="G20" s="14"/>
      <c r="H20" s="15"/>
      <c r="J20" s="14"/>
      <c r="K20" s="15"/>
      <c r="M20" s="14"/>
      <c r="N20" s="15"/>
    </row>
    <row r="21">
      <c r="A21" s="11"/>
      <c r="B21" s="12"/>
      <c r="D21" s="14"/>
      <c r="E21" s="15"/>
      <c r="G21" s="14"/>
      <c r="H21" s="15"/>
      <c r="J21" s="14"/>
      <c r="K21" s="15"/>
      <c r="M21" s="14"/>
      <c r="N21" s="15"/>
    </row>
    <row r="22">
      <c r="A22" s="11"/>
      <c r="B22" s="12"/>
      <c r="D22" s="14"/>
      <c r="E22" s="15"/>
      <c r="G22" s="14"/>
      <c r="H22" s="15"/>
      <c r="J22" s="14"/>
      <c r="K22" s="15"/>
      <c r="M22" s="14"/>
      <c r="N22" s="15"/>
    </row>
    <row r="23">
      <c r="A23" s="11"/>
      <c r="B23" s="12"/>
      <c r="D23" s="14"/>
      <c r="E23" s="15"/>
      <c r="G23" s="14"/>
      <c r="H23" s="15"/>
      <c r="J23" s="14"/>
      <c r="K23" s="15"/>
      <c r="M23" s="14"/>
      <c r="N23" s="15"/>
    </row>
    <row r="24">
      <c r="A24" s="11"/>
      <c r="B24" s="12"/>
      <c r="D24" s="14"/>
      <c r="E24" s="15"/>
      <c r="G24" s="14"/>
      <c r="H24" s="15"/>
      <c r="J24" s="14"/>
      <c r="K24" s="15"/>
      <c r="M24" s="14"/>
      <c r="N24" s="15"/>
    </row>
    <row r="25">
      <c r="A25" s="11"/>
      <c r="B25" s="12"/>
      <c r="D25" s="14"/>
      <c r="E25" s="15"/>
      <c r="G25" s="14"/>
      <c r="H25" s="15"/>
      <c r="J25" s="14"/>
      <c r="K25" s="15"/>
      <c r="M25" s="14"/>
      <c r="N25" s="15"/>
    </row>
    <row r="26">
      <c r="A26" s="11"/>
      <c r="B26" s="12"/>
      <c r="D26" s="14"/>
      <c r="E26" s="15"/>
      <c r="G26" s="14"/>
      <c r="H26" s="15"/>
      <c r="J26" s="14"/>
      <c r="K26" s="15"/>
      <c r="M26" s="14"/>
      <c r="N26" s="15"/>
    </row>
    <row r="27">
      <c r="A27" s="11"/>
      <c r="B27" s="12"/>
      <c r="D27" s="14"/>
      <c r="E27" s="15"/>
      <c r="G27" s="14"/>
      <c r="H27" s="15"/>
      <c r="J27" s="14"/>
      <c r="K27" s="15"/>
      <c r="M27" s="14"/>
      <c r="N27" s="15"/>
    </row>
    <row r="28">
      <c r="A28" s="11"/>
      <c r="B28" s="23"/>
      <c r="D28" s="14"/>
      <c r="E28" s="15"/>
      <c r="G28" s="14"/>
      <c r="H28" s="15"/>
      <c r="J28" s="14"/>
      <c r="K28" s="15"/>
      <c r="M28" s="14"/>
      <c r="N28" s="15"/>
    </row>
    <row r="29">
      <c r="A29" s="11"/>
      <c r="B29" s="12"/>
      <c r="D29" s="14"/>
      <c r="E29" s="15"/>
      <c r="G29" s="14"/>
      <c r="H29" s="15"/>
      <c r="J29" s="14"/>
      <c r="K29" s="15"/>
      <c r="M29" s="14"/>
      <c r="N29" s="15"/>
    </row>
    <row r="30">
      <c r="A30" s="11"/>
      <c r="B30" s="23"/>
      <c r="D30" s="14"/>
      <c r="E30" s="15"/>
      <c r="G30" s="14"/>
      <c r="H30" s="15"/>
      <c r="J30" s="14"/>
      <c r="K30" s="15"/>
      <c r="M30" s="14"/>
      <c r="N30" s="15"/>
    </row>
    <row r="31">
      <c r="A31" s="11"/>
      <c r="B31" s="12"/>
      <c r="D31" s="14"/>
      <c r="E31" s="15"/>
      <c r="G31" s="14"/>
      <c r="H31" s="15"/>
      <c r="J31" s="14"/>
      <c r="K31" s="15"/>
      <c r="M31" s="14"/>
      <c r="N31" s="15"/>
    </row>
    <row r="32">
      <c r="A32" s="11"/>
      <c r="B32" s="12"/>
      <c r="D32" s="14"/>
      <c r="E32" s="15"/>
      <c r="G32" s="14"/>
      <c r="H32" s="15"/>
      <c r="J32" s="14"/>
      <c r="K32" s="15"/>
      <c r="M32" s="14"/>
      <c r="N32" s="15"/>
    </row>
    <row r="33">
      <c r="A33" s="11"/>
      <c r="B33" s="12"/>
      <c r="D33" s="14"/>
      <c r="E33" s="15"/>
      <c r="G33" s="14"/>
      <c r="H33" s="15"/>
      <c r="J33" s="14"/>
      <c r="K33" s="15"/>
      <c r="M33" s="14"/>
      <c r="N33" s="15"/>
    </row>
    <row r="34">
      <c r="A34" s="11"/>
      <c r="B34" s="12"/>
      <c r="D34" s="14"/>
      <c r="E34" s="15"/>
      <c r="G34" s="14"/>
      <c r="H34" s="15"/>
      <c r="J34" s="14"/>
      <c r="K34" s="15"/>
      <c r="M34" s="14"/>
      <c r="N34" s="15"/>
    </row>
    <row r="35">
      <c r="A35" s="11"/>
      <c r="B35" s="12"/>
      <c r="D35" s="14"/>
      <c r="E35" s="15"/>
      <c r="G35" s="14"/>
      <c r="H35" s="15"/>
      <c r="J35" s="14"/>
      <c r="K35" s="15"/>
      <c r="M35" s="14"/>
      <c r="N35" s="15"/>
    </row>
    <row r="36">
      <c r="A36" s="11"/>
      <c r="B36" s="12"/>
      <c r="D36" s="14"/>
      <c r="E36" s="15"/>
      <c r="G36" s="14"/>
      <c r="H36" s="15"/>
      <c r="J36" s="14"/>
      <c r="K36" s="15"/>
      <c r="M36" s="14"/>
      <c r="N36" s="15"/>
    </row>
    <row r="37">
      <c r="A37" s="11"/>
      <c r="B37" s="12"/>
      <c r="D37" s="14"/>
      <c r="E37" s="15"/>
      <c r="G37" s="14"/>
      <c r="H37" s="15"/>
      <c r="J37" s="14"/>
      <c r="K37" s="15"/>
      <c r="M37" s="14"/>
      <c r="N37" s="15"/>
    </row>
    <row r="38">
      <c r="A38" s="11"/>
      <c r="B38" s="23"/>
      <c r="D38" s="14"/>
      <c r="E38" s="15"/>
      <c r="G38" s="14"/>
      <c r="H38" s="15"/>
      <c r="J38" s="14"/>
      <c r="K38" s="15"/>
      <c r="M38" s="14"/>
      <c r="N38" s="15"/>
    </row>
    <row r="39">
      <c r="A39" s="11"/>
      <c r="B39" s="12"/>
      <c r="D39" s="14"/>
      <c r="E39" s="15"/>
      <c r="G39" s="14"/>
      <c r="H39" s="15"/>
      <c r="J39" s="14"/>
      <c r="K39" s="15"/>
      <c r="M39" s="14"/>
      <c r="N39" s="15"/>
    </row>
    <row r="40">
      <c r="A40" s="11"/>
      <c r="B40" s="23"/>
      <c r="D40" s="14"/>
      <c r="E40" s="15"/>
      <c r="G40" s="14"/>
      <c r="H40" s="15"/>
      <c r="J40" s="14"/>
      <c r="K40" s="15"/>
      <c r="M40" s="14"/>
      <c r="N40" s="15"/>
    </row>
    <row r="41">
      <c r="A41" s="11"/>
      <c r="B41" s="23"/>
      <c r="D41" s="14"/>
      <c r="E41" s="15"/>
      <c r="G41" s="14"/>
      <c r="H41" s="15"/>
      <c r="J41" s="14"/>
      <c r="K41" s="15"/>
      <c r="M41" s="14"/>
      <c r="N41" s="15"/>
    </row>
    <row r="42">
      <c r="A42" s="11"/>
      <c r="B42" s="12"/>
      <c r="D42" s="14"/>
      <c r="E42" s="15"/>
      <c r="G42" s="14"/>
      <c r="H42" s="15"/>
      <c r="J42" s="14"/>
      <c r="K42" s="15"/>
      <c r="M42" s="14"/>
      <c r="N42" s="15"/>
    </row>
    <row r="43">
      <c r="A43" s="11"/>
      <c r="B43" s="12"/>
      <c r="D43" s="14"/>
      <c r="E43" s="15"/>
      <c r="G43" s="14"/>
      <c r="H43" s="15"/>
      <c r="J43" s="14"/>
      <c r="K43" s="15"/>
      <c r="M43" s="14"/>
      <c r="N43" s="15"/>
    </row>
    <row r="44">
      <c r="A44" s="11"/>
      <c r="B44" s="12"/>
      <c r="D44" s="14"/>
      <c r="E44" s="15"/>
      <c r="G44" s="14"/>
      <c r="H44" s="15"/>
      <c r="J44" s="14"/>
      <c r="K44" s="15"/>
      <c r="M44" s="14"/>
      <c r="N44" s="15"/>
    </row>
    <row r="45">
      <c r="A45" s="11"/>
      <c r="B45" s="12"/>
      <c r="D45" s="14"/>
      <c r="E45" s="15"/>
      <c r="G45" s="14"/>
      <c r="H45" s="15"/>
      <c r="J45" s="14"/>
      <c r="K45" s="15"/>
      <c r="M45" s="14"/>
      <c r="N45" s="15"/>
    </row>
    <row r="46">
      <c r="A46" s="11"/>
      <c r="B46" s="12"/>
      <c r="D46" s="14"/>
      <c r="E46" s="15"/>
      <c r="G46" s="14"/>
      <c r="H46" s="15"/>
      <c r="J46" s="14"/>
      <c r="K46" s="15"/>
      <c r="M46" s="14"/>
      <c r="N46" s="15"/>
    </row>
    <row r="47">
      <c r="A47" s="11"/>
      <c r="B47" s="12"/>
      <c r="D47" s="14"/>
      <c r="E47" s="15"/>
      <c r="G47" s="14"/>
      <c r="H47" s="15"/>
      <c r="J47" s="14"/>
      <c r="K47" s="15"/>
      <c r="M47" s="14"/>
      <c r="N47" s="15"/>
    </row>
    <row r="48">
      <c r="A48" s="11"/>
      <c r="B48" s="12"/>
      <c r="D48" s="14"/>
      <c r="E48" s="15"/>
      <c r="G48" s="14"/>
      <c r="H48" s="15"/>
      <c r="J48" s="14"/>
      <c r="K48" s="15"/>
      <c r="M48" s="14"/>
      <c r="N48" s="15"/>
    </row>
    <row r="49">
      <c r="A49" s="14"/>
      <c r="B49" s="23"/>
      <c r="D49" s="14"/>
      <c r="E49" s="15"/>
      <c r="G49" s="14"/>
      <c r="H49" s="15"/>
      <c r="J49" s="14"/>
      <c r="K49" s="15"/>
      <c r="M49" s="14"/>
      <c r="N49" s="15"/>
    </row>
    <row r="50">
      <c r="A50" s="14"/>
      <c r="B50" s="23"/>
      <c r="D50" s="14"/>
      <c r="E50" s="15"/>
      <c r="G50" s="14"/>
      <c r="H50" s="15"/>
      <c r="J50" s="14"/>
      <c r="K50" s="15"/>
      <c r="M50" s="14"/>
      <c r="N50" s="15"/>
    </row>
    <row r="51">
      <c r="A51" s="14"/>
      <c r="B51" s="23"/>
      <c r="D51" s="14"/>
      <c r="E51" s="15"/>
      <c r="G51" s="14"/>
      <c r="H51" s="15"/>
      <c r="J51" s="14"/>
      <c r="K51" s="15"/>
      <c r="M51" s="14"/>
      <c r="N51" s="15"/>
    </row>
    <row r="52">
      <c r="A52" s="14"/>
      <c r="B52" s="23"/>
      <c r="D52" s="14"/>
      <c r="E52" s="15"/>
      <c r="G52" s="14"/>
      <c r="H52" s="15"/>
      <c r="J52" s="14"/>
      <c r="K52" s="15"/>
      <c r="M52" s="14"/>
      <c r="N52" s="15"/>
    </row>
    <row r="53">
      <c r="A53" s="14"/>
      <c r="B53" s="23"/>
      <c r="D53" s="14"/>
      <c r="E53" s="15"/>
      <c r="G53" s="14"/>
      <c r="H53" s="15"/>
      <c r="J53" s="14"/>
      <c r="K53" s="15"/>
      <c r="M53" s="14"/>
      <c r="N53" s="15"/>
    </row>
    <row r="54">
      <c r="A54" s="14"/>
      <c r="B54" s="23"/>
      <c r="D54" s="14"/>
      <c r="E54" s="15"/>
      <c r="G54" s="14"/>
      <c r="H54" s="15"/>
      <c r="J54" s="14"/>
      <c r="K54" s="15"/>
      <c r="M54" s="14"/>
      <c r="N54" s="15"/>
    </row>
    <row r="55">
      <c r="A55" s="14"/>
      <c r="B55" s="23"/>
      <c r="D55" s="14"/>
      <c r="E55" s="15"/>
      <c r="G55" s="14"/>
      <c r="H55" s="15"/>
      <c r="J55" s="14"/>
      <c r="K55" s="15"/>
      <c r="M55" s="14"/>
      <c r="N55" s="15"/>
    </row>
    <row r="56">
      <c r="A56" s="14"/>
      <c r="B56" s="23"/>
      <c r="D56" s="14"/>
      <c r="E56" s="15"/>
      <c r="G56" s="14"/>
      <c r="H56" s="15"/>
      <c r="J56" s="14"/>
      <c r="K56" s="15"/>
      <c r="M56" s="14"/>
      <c r="N56" s="15"/>
    </row>
    <row r="57">
      <c r="A57" s="14"/>
      <c r="B57" s="23"/>
      <c r="D57" s="14"/>
      <c r="E57" s="15"/>
      <c r="G57" s="14"/>
      <c r="H57" s="15"/>
      <c r="J57" s="14"/>
      <c r="K57" s="15"/>
      <c r="M57" s="14"/>
      <c r="N57" s="15"/>
    </row>
    <row r="58">
      <c r="A58" s="14"/>
      <c r="B58" s="23"/>
      <c r="D58" s="14"/>
      <c r="E58" s="15"/>
      <c r="G58" s="14"/>
      <c r="H58" s="15"/>
      <c r="J58" s="14"/>
      <c r="K58" s="15"/>
      <c r="M58" s="14"/>
      <c r="N58" s="15"/>
    </row>
    <row r="59">
      <c r="A59" s="14"/>
      <c r="B59" s="23"/>
      <c r="D59" s="14"/>
      <c r="E59" s="15"/>
      <c r="G59" s="14"/>
      <c r="H59" s="15"/>
      <c r="J59" s="14"/>
      <c r="K59" s="15"/>
      <c r="M59" s="14"/>
      <c r="N59" s="15"/>
    </row>
    <row r="60">
      <c r="A60" s="14"/>
      <c r="B60" s="23"/>
      <c r="D60" s="14"/>
      <c r="E60" s="15"/>
      <c r="G60" s="14"/>
      <c r="H60" s="15"/>
      <c r="J60" s="14"/>
      <c r="K60" s="15"/>
      <c r="M60" s="14"/>
      <c r="N60" s="15"/>
    </row>
    <row r="61">
      <c r="A61" s="14"/>
      <c r="B61" s="23"/>
      <c r="D61" s="14"/>
      <c r="E61" s="15"/>
      <c r="G61" s="14"/>
      <c r="H61" s="15"/>
      <c r="J61" s="14"/>
      <c r="K61" s="15"/>
      <c r="M61" s="14"/>
      <c r="N61" s="15"/>
    </row>
    <row r="62">
      <c r="A62" s="33"/>
      <c r="B62" s="34"/>
      <c r="D62" s="33"/>
      <c r="E62" s="35"/>
      <c r="G62" s="33"/>
      <c r="H62" s="35"/>
      <c r="J62" s="33"/>
      <c r="K62" s="35"/>
      <c r="M62" s="33"/>
      <c r="N62" s="3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>
        <f>SUM(B3:B62)</f>
        <v>0</v>
      </c>
      <c r="D1" s="1" t="s">
        <v>2</v>
      </c>
      <c r="E1" s="3">
        <f>SUM(E3:E62)</f>
        <v>0</v>
      </c>
      <c r="G1" s="1" t="s">
        <v>4</v>
      </c>
      <c r="H1" s="3">
        <f>SUM(H3:H62)</f>
        <v>0</v>
      </c>
      <c r="J1" s="1" t="s">
        <v>8</v>
      </c>
      <c r="K1" s="3">
        <f>SUM(K3:K62)</f>
        <v>0</v>
      </c>
      <c r="M1" s="1" t="s">
        <v>14</v>
      </c>
      <c r="N1" s="3">
        <f>SUM(N62)</f>
        <v>0</v>
      </c>
    </row>
    <row r="2">
      <c r="A2" s="7" t="s">
        <v>20</v>
      </c>
      <c r="B2" s="8" t="s">
        <v>21</v>
      </c>
      <c r="D2" s="7" t="s">
        <v>20</v>
      </c>
      <c r="E2" s="8" t="s">
        <v>21</v>
      </c>
      <c r="G2" s="7" t="s">
        <v>20</v>
      </c>
      <c r="H2" s="8" t="s">
        <v>21</v>
      </c>
      <c r="J2" s="7" t="s">
        <v>20</v>
      </c>
      <c r="K2" s="8" t="s">
        <v>21</v>
      </c>
      <c r="M2" s="7" t="s">
        <v>20</v>
      </c>
      <c r="N2" s="8" t="s">
        <v>21</v>
      </c>
    </row>
    <row r="3">
      <c r="A3" s="11"/>
      <c r="B3" s="12"/>
      <c r="D3" s="11"/>
      <c r="E3" s="16"/>
      <c r="G3" s="14"/>
      <c r="H3" s="15"/>
      <c r="J3" s="11"/>
      <c r="K3" s="16"/>
      <c r="M3" s="14"/>
      <c r="N3" s="15"/>
    </row>
    <row r="4">
      <c r="A4" s="11"/>
      <c r="B4" s="12"/>
      <c r="D4" s="11"/>
      <c r="E4" s="16"/>
      <c r="G4" s="14"/>
      <c r="H4" s="15"/>
      <c r="J4" s="11"/>
      <c r="K4" s="16"/>
      <c r="M4" s="14"/>
      <c r="N4" s="15"/>
    </row>
    <row r="5">
      <c r="A5" s="11"/>
      <c r="B5" s="12"/>
      <c r="D5" s="11"/>
      <c r="E5" s="16"/>
      <c r="G5" s="14"/>
      <c r="H5" s="15"/>
      <c r="J5" s="11"/>
      <c r="K5" s="16"/>
      <c r="M5" s="14"/>
      <c r="N5" s="15"/>
    </row>
    <row r="6">
      <c r="A6" s="11"/>
      <c r="B6" s="12"/>
      <c r="D6" s="14"/>
      <c r="E6" s="15"/>
      <c r="G6" s="14"/>
      <c r="H6" s="15"/>
      <c r="J6" s="11"/>
      <c r="K6" s="16"/>
      <c r="M6" s="14"/>
      <c r="N6" s="15"/>
    </row>
    <row r="7">
      <c r="A7" s="11"/>
      <c r="B7" s="12"/>
      <c r="D7" s="14"/>
      <c r="E7" s="15"/>
      <c r="G7" s="14"/>
      <c r="H7" s="15"/>
      <c r="J7" s="11"/>
      <c r="K7" s="16"/>
      <c r="M7" s="14"/>
      <c r="N7" s="15"/>
    </row>
    <row r="8">
      <c r="A8" s="11"/>
      <c r="B8" s="12"/>
      <c r="D8" s="14"/>
      <c r="E8" s="15"/>
      <c r="G8" s="14"/>
      <c r="H8" s="15"/>
      <c r="J8" s="11"/>
      <c r="K8" s="16"/>
      <c r="M8" s="14"/>
      <c r="N8" s="15"/>
    </row>
    <row r="9">
      <c r="A9" s="11"/>
      <c r="B9" s="12"/>
      <c r="D9" s="14"/>
      <c r="E9" s="15"/>
      <c r="G9" s="14"/>
      <c r="H9" s="15"/>
      <c r="J9" s="11"/>
      <c r="K9" s="16"/>
      <c r="M9" s="14"/>
      <c r="N9" s="15"/>
    </row>
    <row r="10">
      <c r="A10" s="11"/>
      <c r="B10" s="12"/>
      <c r="D10" s="14"/>
      <c r="E10" s="15"/>
      <c r="G10" s="14"/>
      <c r="H10" s="15"/>
      <c r="J10" s="11"/>
      <c r="K10" s="16"/>
      <c r="M10" s="14"/>
      <c r="N10" s="15"/>
    </row>
    <row r="11">
      <c r="A11" s="11"/>
      <c r="B11" s="12"/>
      <c r="D11" s="14"/>
      <c r="E11" s="15"/>
      <c r="G11" s="14"/>
      <c r="H11" s="15"/>
      <c r="J11" s="11"/>
      <c r="K11" s="15"/>
      <c r="M11" s="14"/>
      <c r="N11" s="15"/>
    </row>
    <row r="12">
      <c r="A12" s="11"/>
      <c r="B12" s="12"/>
      <c r="D12" s="14"/>
      <c r="E12" s="15"/>
      <c r="G12" s="14"/>
      <c r="H12" s="15"/>
      <c r="J12" s="11"/>
      <c r="K12" s="16"/>
      <c r="M12" s="14"/>
      <c r="N12" s="15"/>
    </row>
    <row r="13">
      <c r="A13" s="11"/>
      <c r="B13" s="12"/>
      <c r="D13" s="14"/>
      <c r="E13" s="15"/>
      <c r="G13" s="14"/>
      <c r="H13" s="15"/>
      <c r="J13" s="14"/>
      <c r="K13" s="15"/>
      <c r="M13" s="14"/>
      <c r="N13" s="15"/>
    </row>
    <row r="14">
      <c r="A14" s="11"/>
      <c r="B14" s="12"/>
      <c r="D14" s="14"/>
      <c r="E14" s="15"/>
      <c r="G14" s="14"/>
      <c r="H14" s="15"/>
      <c r="J14" s="14"/>
      <c r="K14" s="15"/>
      <c r="M14" s="14"/>
      <c r="N14" s="15"/>
    </row>
    <row r="15">
      <c r="A15" s="11"/>
      <c r="B15" s="12"/>
      <c r="D15" s="14"/>
      <c r="E15" s="15"/>
      <c r="G15" s="14"/>
      <c r="H15" s="15"/>
      <c r="J15" s="14"/>
      <c r="K15" s="15"/>
      <c r="M15" s="14"/>
      <c r="N15" s="15"/>
    </row>
    <row r="16">
      <c r="A16" s="11"/>
      <c r="B16" s="12"/>
      <c r="D16" s="14"/>
      <c r="E16" s="15"/>
      <c r="G16" s="14"/>
      <c r="H16" s="15"/>
      <c r="J16" s="14"/>
      <c r="K16" s="15"/>
      <c r="M16" s="14"/>
      <c r="N16" s="15"/>
    </row>
    <row r="17">
      <c r="A17" s="11"/>
      <c r="B17" s="12"/>
      <c r="D17" s="14"/>
      <c r="E17" s="15"/>
      <c r="G17" s="14"/>
      <c r="H17" s="15"/>
      <c r="J17" s="14"/>
      <c r="K17" s="15"/>
      <c r="M17" s="14"/>
      <c r="N17" s="15"/>
    </row>
    <row r="18">
      <c r="A18" s="14"/>
      <c r="B18" s="23"/>
      <c r="D18" s="14"/>
      <c r="E18" s="15"/>
      <c r="G18" s="14"/>
      <c r="H18" s="15"/>
      <c r="J18" s="14"/>
      <c r="K18" s="15"/>
      <c r="M18" s="14"/>
      <c r="N18" s="15"/>
    </row>
    <row r="19">
      <c r="A19" s="14"/>
      <c r="B19" s="23"/>
      <c r="D19" s="14"/>
      <c r="E19" s="15"/>
      <c r="G19" s="14"/>
      <c r="H19" s="15"/>
      <c r="J19" s="14"/>
      <c r="K19" s="15"/>
      <c r="M19" s="14"/>
      <c r="N19" s="15"/>
    </row>
    <row r="20">
      <c r="A20" s="14"/>
      <c r="B20" s="23"/>
      <c r="D20" s="14"/>
      <c r="E20" s="15"/>
      <c r="G20" s="14"/>
      <c r="H20" s="15"/>
      <c r="J20" s="14"/>
      <c r="K20" s="15"/>
      <c r="M20" s="14"/>
      <c r="N20" s="15"/>
    </row>
    <row r="21">
      <c r="A21" s="14"/>
      <c r="B21" s="23"/>
      <c r="D21" s="14"/>
      <c r="E21" s="15"/>
      <c r="G21" s="14"/>
      <c r="H21" s="15"/>
      <c r="J21" s="14"/>
      <c r="K21" s="15"/>
      <c r="M21" s="14"/>
      <c r="N21" s="15"/>
    </row>
    <row r="22">
      <c r="A22" s="14"/>
      <c r="B22" s="23"/>
      <c r="D22" s="14"/>
      <c r="E22" s="15"/>
      <c r="G22" s="14"/>
      <c r="H22" s="15"/>
      <c r="J22" s="14"/>
      <c r="K22" s="15"/>
      <c r="M22" s="14"/>
      <c r="N22" s="15"/>
    </row>
    <row r="23">
      <c r="A23" s="14"/>
      <c r="B23" s="23"/>
      <c r="D23" s="14"/>
      <c r="E23" s="15"/>
      <c r="G23" s="14"/>
      <c r="H23" s="15"/>
      <c r="J23" s="14"/>
      <c r="K23" s="15"/>
      <c r="M23" s="14"/>
      <c r="N23" s="15"/>
    </row>
    <row r="24">
      <c r="A24" s="14"/>
      <c r="B24" s="23"/>
      <c r="D24" s="14"/>
      <c r="E24" s="15"/>
      <c r="G24" s="14"/>
      <c r="H24" s="15"/>
      <c r="J24" s="14"/>
      <c r="K24" s="15"/>
      <c r="M24" s="14"/>
      <c r="N24" s="15"/>
    </row>
    <row r="25">
      <c r="A25" s="14"/>
      <c r="B25" s="23"/>
      <c r="D25" s="14"/>
      <c r="E25" s="15"/>
      <c r="G25" s="14"/>
      <c r="H25" s="15"/>
      <c r="J25" s="14"/>
      <c r="K25" s="15"/>
      <c r="M25" s="14"/>
      <c r="N25" s="15"/>
    </row>
    <row r="26">
      <c r="A26" s="14"/>
      <c r="B26" s="23"/>
      <c r="D26" s="14"/>
      <c r="E26" s="15"/>
      <c r="G26" s="14"/>
      <c r="H26" s="15"/>
      <c r="J26" s="14"/>
      <c r="K26" s="15"/>
      <c r="M26" s="14"/>
      <c r="N26" s="15"/>
    </row>
    <row r="27">
      <c r="A27" s="14"/>
      <c r="B27" s="23"/>
      <c r="D27" s="14"/>
      <c r="E27" s="15"/>
      <c r="G27" s="14"/>
      <c r="H27" s="15"/>
      <c r="J27" s="14"/>
      <c r="K27" s="15"/>
      <c r="M27" s="14"/>
      <c r="N27" s="15"/>
    </row>
    <row r="28">
      <c r="A28" s="14"/>
      <c r="B28" s="23"/>
      <c r="D28" s="14"/>
      <c r="E28" s="15"/>
      <c r="G28" s="14"/>
      <c r="H28" s="15"/>
      <c r="J28" s="14"/>
      <c r="K28" s="15"/>
      <c r="M28" s="14"/>
      <c r="N28" s="15"/>
    </row>
    <row r="29">
      <c r="A29" s="14"/>
      <c r="B29" s="23"/>
      <c r="D29" s="14"/>
      <c r="E29" s="15"/>
      <c r="G29" s="14"/>
      <c r="H29" s="15"/>
      <c r="J29" s="14"/>
      <c r="K29" s="15"/>
      <c r="M29" s="14"/>
      <c r="N29" s="15"/>
    </row>
    <row r="30">
      <c r="A30" s="14"/>
      <c r="B30" s="23"/>
      <c r="D30" s="14"/>
      <c r="E30" s="15"/>
      <c r="G30" s="14"/>
      <c r="H30" s="15"/>
      <c r="J30" s="14"/>
      <c r="K30" s="15"/>
      <c r="M30" s="14"/>
      <c r="N30" s="15"/>
    </row>
    <row r="31">
      <c r="A31" s="14"/>
      <c r="B31" s="23"/>
      <c r="D31" s="14"/>
      <c r="E31" s="15"/>
      <c r="G31" s="14"/>
      <c r="H31" s="15"/>
      <c r="J31" s="14"/>
      <c r="K31" s="15"/>
      <c r="M31" s="14"/>
      <c r="N31" s="15"/>
    </row>
    <row r="32">
      <c r="A32" s="14"/>
      <c r="B32" s="23"/>
      <c r="D32" s="14"/>
      <c r="E32" s="15"/>
      <c r="G32" s="14"/>
      <c r="H32" s="15"/>
      <c r="J32" s="14"/>
      <c r="K32" s="15"/>
      <c r="M32" s="14"/>
      <c r="N32" s="15"/>
    </row>
    <row r="33">
      <c r="A33" s="14"/>
      <c r="B33" s="23"/>
      <c r="D33" s="14"/>
      <c r="E33" s="15"/>
      <c r="G33" s="14"/>
      <c r="H33" s="15"/>
      <c r="J33" s="14"/>
      <c r="K33" s="15"/>
      <c r="M33" s="14"/>
      <c r="N33" s="15"/>
    </row>
    <row r="34">
      <c r="A34" s="14"/>
      <c r="B34" s="23"/>
      <c r="D34" s="14"/>
      <c r="E34" s="15"/>
      <c r="G34" s="14"/>
      <c r="H34" s="15"/>
      <c r="J34" s="14"/>
      <c r="K34" s="15"/>
      <c r="M34" s="14"/>
      <c r="N34" s="15"/>
    </row>
    <row r="35">
      <c r="A35" s="14"/>
      <c r="B35" s="23"/>
      <c r="D35" s="14"/>
      <c r="E35" s="15"/>
      <c r="G35" s="14"/>
      <c r="H35" s="15"/>
      <c r="J35" s="14"/>
      <c r="K35" s="15"/>
      <c r="M35" s="14"/>
      <c r="N35" s="15"/>
    </row>
    <row r="36">
      <c r="A36" s="14"/>
      <c r="B36" s="23"/>
      <c r="D36" s="14"/>
      <c r="E36" s="15"/>
      <c r="G36" s="14"/>
      <c r="H36" s="15"/>
      <c r="J36" s="14"/>
      <c r="K36" s="15"/>
      <c r="M36" s="14"/>
      <c r="N36" s="15"/>
    </row>
    <row r="37">
      <c r="A37" s="14"/>
      <c r="B37" s="23"/>
      <c r="D37" s="14"/>
      <c r="E37" s="15"/>
      <c r="G37" s="14"/>
      <c r="H37" s="15"/>
      <c r="J37" s="14"/>
      <c r="K37" s="15"/>
      <c r="M37" s="14"/>
      <c r="N37" s="15"/>
    </row>
    <row r="38">
      <c r="A38" s="14"/>
      <c r="B38" s="23"/>
      <c r="D38" s="14"/>
      <c r="E38" s="15"/>
      <c r="G38" s="14"/>
      <c r="H38" s="15"/>
      <c r="J38" s="14"/>
      <c r="K38" s="15"/>
      <c r="M38" s="14"/>
      <c r="N38" s="15"/>
    </row>
    <row r="39">
      <c r="A39" s="14"/>
      <c r="B39" s="23"/>
      <c r="D39" s="14"/>
      <c r="E39" s="15"/>
      <c r="G39" s="14"/>
      <c r="H39" s="15"/>
      <c r="J39" s="14"/>
      <c r="K39" s="15"/>
      <c r="M39" s="14"/>
      <c r="N39" s="15"/>
    </row>
    <row r="40">
      <c r="A40" s="14"/>
      <c r="B40" s="23"/>
      <c r="D40" s="14"/>
      <c r="E40" s="15"/>
      <c r="G40" s="14"/>
      <c r="H40" s="15"/>
      <c r="J40" s="14"/>
      <c r="K40" s="15"/>
      <c r="M40" s="14"/>
      <c r="N40" s="15"/>
    </row>
    <row r="41">
      <c r="A41" s="14"/>
      <c r="B41" s="23"/>
      <c r="D41" s="14"/>
      <c r="E41" s="15"/>
      <c r="G41" s="14"/>
      <c r="H41" s="15"/>
      <c r="J41" s="14"/>
      <c r="K41" s="15"/>
      <c r="M41" s="14"/>
      <c r="N41" s="15"/>
    </row>
    <row r="42">
      <c r="A42" s="14"/>
      <c r="B42" s="23"/>
      <c r="D42" s="14"/>
      <c r="E42" s="15"/>
      <c r="G42" s="14"/>
      <c r="H42" s="15"/>
      <c r="J42" s="14"/>
      <c r="K42" s="15"/>
      <c r="M42" s="14"/>
      <c r="N42" s="15"/>
    </row>
    <row r="43">
      <c r="A43" s="14"/>
      <c r="B43" s="23"/>
      <c r="D43" s="14"/>
      <c r="E43" s="15"/>
      <c r="G43" s="14"/>
      <c r="H43" s="15"/>
      <c r="J43" s="14"/>
      <c r="K43" s="15"/>
      <c r="M43" s="14"/>
      <c r="N43" s="15"/>
    </row>
    <row r="44">
      <c r="A44" s="14"/>
      <c r="B44" s="23"/>
      <c r="D44" s="14"/>
      <c r="E44" s="15"/>
      <c r="G44" s="14"/>
      <c r="H44" s="15"/>
      <c r="J44" s="14"/>
      <c r="K44" s="15"/>
      <c r="M44" s="14"/>
      <c r="N44" s="15"/>
    </row>
    <row r="45">
      <c r="A45" s="14"/>
      <c r="B45" s="23"/>
      <c r="D45" s="14"/>
      <c r="E45" s="15"/>
      <c r="G45" s="14"/>
      <c r="H45" s="15"/>
      <c r="J45" s="14"/>
      <c r="K45" s="15"/>
      <c r="M45" s="14"/>
      <c r="N45" s="15"/>
    </row>
    <row r="46">
      <c r="A46" s="14"/>
      <c r="B46" s="23"/>
      <c r="D46" s="14"/>
      <c r="E46" s="15"/>
      <c r="G46" s="14"/>
      <c r="H46" s="15"/>
      <c r="J46" s="14"/>
      <c r="K46" s="15"/>
      <c r="M46" s="14"/>
      <c r="N46" s="15"/>
    </row>
    <row r="47">
      <c r="A47" s="14"/>
      <c r="B47" s="23"/>
      <c r="D47" s="14"/>
      <c r="E47" s="15"/>
      <c r="G47" s="14"/>
      <c r="H47" s="15"/>
      <c r="J47" s="14"/>
      <c r="K47" s="15"/>
      <c r="M47" s="14"/>
      <c r="N47" s="15"/>
    </row>
    <row r="48">
      <c r="A48" s="14"/>
      <c r="B48" s="23"/>
      <c r="D48" s="14"/>
      <c r="E48" s="15"/>
      <c r="G48" s="14"/>
      <c r="H48" s="15"/>
      <c r="J48" s="14"/>
      <c r="K48" s="15"/>
      <c r="M48" s="14"/>
      <c r="N48" s="15"/>
    </row>
    <row r="49">
      <c r="A49" s="14"/>
      <c r="B49" s="23"/>
      <c r="D49" s="14"/>
      <c r="E49" s="15"/>
      <c r="G49" s="14"/>
      <c r="H49" s="15"/>
      <c r="J49" s="14"/>
      <c r="K49" s="15"/>
      <c r="M49" s="14"/>
      <c r="N49" s="15"/>
    </row>
    <row r="50">
      <c r="A50" s="14"/>
      <c r="B50" s="23"/>
      <c r="D50" s="14"/>
      <c r="E50" s="15"/>
      <c r="G50" s="14"/>
      <c r="H50" s="15"/>
      <c r="J50" s="14"/>
      <c r="K50" s="15"/>
      <c r="M50" s="14"/>
      <c r="N50" s="15"/>
    </row>
    <row r="51">
      <c r="A51" s="14"/>
      <c r="B51" s="23"/>
      <c r="D51" s="14"/>
      <c r="E51" s="15"/>
      <c r="G51" s="14"/>
      <c r="H51" s="15"/>
      <c r="J51" s="14"/>
      <c r="K51" s="15"/>
      <c r="M51" s="14"/>
      <c r="N51" s="15"/>
    </row>
    <row r="52">
      <c r="A52" s="14"/>
      <c r="B52" s="23"/>
      <c r="D52" s="14"/>
      <c r="E52" s="15"/>
      <c r="G52" s="14"/>
      <c r="H52" s="15"/>
      <c r="J52" s="14"/>
      <c r="K52" s="15"/>
      <c r="M52" s="14"/>
      <c r="N52" s="15"/>
    </row>
    <row r="53">
      <c r="A53" s="14"/>
      <c r="B53" s="23"/>
      <c r="D53" s="14"/>
      <c r="E53" s="15"/>
      <c r="G53" s="14"/>
      <c r="H53" s="15"/>
      <c r="J53" s="14"/>
      <c r="K53" s="15"/>
      <c r="M53" s="14"/>
      <c r="N53" s="15"/>
    </row>
    <row r="54">
      <c r="A54" s="14"/>
      <c r="B54" s="23"/>
      <c r="D54" s="14"/>
      <c r="E54" s="15"/>
      <c r="G54" s="14"/>
      <c r="H54" s="15"/>
      <c r="J54" s="14"/>
      <c r="K54" s="15"/>
      <c r="M54" s="14"/>
      <c r="N54" s="15"/>
    </row>
    <row r="55">
      <c r="A55" s="14"/>
      <c r="B55" s="23"/>
      <c r="D55" s="14"/>
      <c r="E55" s="15"/>
      <c r="G55" s="14"/>
      <c r="H55" s="15"/>
      <c r="J55" s="14"/>
      <c r="K55" s="15"/>
      <c r="M55" s="14"/>
      <c r="N55" s="15"/>
    </row>
    <row r="56">
      <c r="A56" s="14"/>
      <c r="B56" s="23"/>
      <c r="D56" s="14"/>
      <c r="E56" s="15"/>
      <c r="G56" s="14"/>
      <c r="H56" s="15"/>
      <c r="J56" s="14"/>
      <c r="K56" s="15"/>
      <c r="M56" s="14"/>
      <c r="N56" s="15"/>
    </row>
    <row r="57">
      <c r="A57" s="14"/>
      <c r="B57" s="23"/>
      <c r="D57" s="14"/>
      <c r="E57" s="15"/>
      <c r="G57" s="14"/>
      <c r="H57" s="15"/>
      <c r="J57" s="14"/>
      <c r="K57" s="15"/>
      <c r="M57" s="14"/>
      <c r="N57" s="15"/>
    </row>
    <row r="58">
      <c r="A58" s="14"/>
      <c r="B58" s="23"/>
      <c r="D58" s="14"/>
      <c r="E58" s="15"/>
      <c r="G58" s="14"/>
      <c r="H58" s="15"/>
      <c r="J58" s="14"/>
      <c r="K58" s="15"/>
      <c r="M58" s="14"/>
      <c r="N58" s="15"/>
    </row>
    <row r="59">
      <c r="A59" s="14"/>
      <c r="B59" s="23"/>
      <c r="D59" s="14"/>
      <c r="E59" s="15"/>
      <c r="G59" s="14"/>
      <c r="H59" s="15"/>
      <c r="J59" s="14"/>
      <c r="K59" s="15"/>
      <c r="M59" s="14"/>
      <c r="N59" s="15"/>
    </row>
    <row r="60">
      <c r="A60" s="14"/>
      <c r="B60" s="23"/>
      <c r="D60" s="14"/>
      <c r="E60" s="15"/>
      <c r="G60" s="14"/>
      <c r="H60" s="15"/>
      <c r="J60" s="14"/>
      <c r="K60" s="15"/>
      <c r="M60" s="14"/>
      <c r="N60" s="15"/>
    </row>
    <row r="61">
      <c r="A61" s="14"/>
      <c r="B61" s="23"/>
      <c r="D61" s="14"/>
      <c r="E61" s="15"/>
      <c r="G61" s="14"/>
      <c r="H61" s="15"/>
      <c r="J61" s="14"/>
      <c r="K61" s="15"/>
      <c r="M61" s="14"/>
      <c r="N61" s="15"/>
    </row>
    <row r="62">
      <c r="A62" s="33"/>
      <c r="B62" s="34"/>
      <c r="D62" s="33"/>
      <c r="E62" s="35"/>
      <c r="G62" s="33"/>
      <c r="H62" s="35"/>
      <c r="J62" s="33"/>
      <c r="K62" s="35"/>
      <c r="M62" s="33"/>
      <c r="N62" s="35"/>
    </row>
  </sheetData>
  <drawing r:id="rId1"/>
</worksheet>
</file>